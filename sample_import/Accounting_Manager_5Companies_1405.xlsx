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کارهای 1405" sheetId="2" state="visible" r:id="rId2"/>
    <sheet xmlns:r="http://schemas.openxmlformats.org/officeDocument/2006/relationships" name="شرکت‌ها" sheetId="3" state="visible" r:id="rId3"/>
    <sheet xmlns:r="http://schemas.openxmlformats.org/officeDocument/2006/relationships" name="برنامه حضور هفتگی" sheetId="4" state="visible" r:id="rId4"/>
    <sheet xmlns:r="http://schemas.openxmlformats.org/officeDocument/2006/relationships" name="تقویم 1405" sheetId="5" state="visible" r:id="rId5"/>
    <sheet xmlns:r="http://schemas.openxmlformats.org/officeDocument/2006/relationships" name="الگوهای کار" sheetId="6" state="visible" r:id="rId6"/>
    <sheet xmlns:r="http://schemas.openxmlformats.org/officeDocument/2006/relationships" name="چک‌لیست حضور" sheetId="7" state="visible" r:id="rId7"/>
    <sheet xmlns:r="http://schemas.openxmlformats.org/officeDocument/2006/relationships" name="پیگیری‌ها" sheetId="8" state="visible" r:id="rId8"/>
    <sheet xmlns:r="http://schemas.openxmlformats.org/officeDocument/2006/relationships" name="مغایرت بانکی" sheetId="9" state="visible" r:id="rId9"/>
    <sheet xmlns:r="http://schemas.openxmlformats.org/officeDocument/2006/relationships" name="اطلاعات سامانه‌ها" sheetId="10" state="visible" r:id="rId10"/>
    <sheet xmlns:r="http://schemas.openxmlformats.org/officeDocument/2006/relationships" name="خطاها و تجربیات" sheetId="11" state="visible" r:id="rId11"/>
    <sheet xmlns:r="http://schemas.openxmlformats.org/officeDocument/2006/relationships" name="گزارشات" sheetId="12" state="visible" r:id="rId12"/>
    <sheet xmlns:r="http://schemas.openxmlformats.org/officeDocument/2006/relationships" name="تنظیمات" sheetId="13" state="visible" r:id="rId13"/>
    <sheet xmlns:r="http://schemas.openxmlformats.org/officeDocument/2006/relationships" name="راهنما و منابع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right" vertical="center" wrapText="1"/>
    </xf>
    <xf numFmtId="9" fontId="0" fillId="0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right" vertical="center" wrapText="1"/>
    </xf>
    <xf numFmtId="165" fontId="1" fillId="0" borderId="1" applyAlignment="1" pivotButton="0" quotePrefix="0" xfId="0">
      <alignment horizontal="right" vertical="center" wrapText="1"/>
    </xf>
    <xf numFmtId="3" fontId="1" fillId="0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right" vertical="center" wrapText="1"/>
    </xf>
    <xf numFmtId="9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خلاصه وضعیت کارها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'داشبورد'!$A$6:$A$12</f>
            </numRef>
          </cat>
          <val>
            <numRef>
              <f>'داشبورد'!$B$6:$B$12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شاخص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کارها به تفکیک شرکت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'گزارشات'!B3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'گزارشات'!$A$4:$A$8</f>
            </numRef>
          </cat>
          <val>
            <numRef>
              <f>'گزارشات'!$B$4:$B$8</f>
            </numRef>
          </val>
        </ser>
        <ser>
          <idx val="1"/>
          <order val="1"/>
          <tx>
            <strRef>
              <f>'گزارشات'!C3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'گزارشات'!$A$4:$A$8</f>
            </numRef>
          </cat>
          <val>
            <numRef>
              <f>'گزارشات'!$C$4:$C$8</f>
            </numRef>
          </val>
        </ser>
        <ser>
          <idx val="2"/>
          <order val="2"/>
          <tx>
            <strRef>
              <f>'گزارشات'!D3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'گزارشات'!$A$4:$A$8</f>
            </numRef>
          </cat>
          <val>
            <numRef>
              <f>'گزارشات'!$D$4:$D$8</f>
            </numRef>
          </val>
        </ser>
        <ser>
          <idx val="3"/>
          <order val="3"/>
          <tx>
            <strRef>
              <f>'گزارشات'!E3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'گزارشات'!$A$4:$A$8</f>
            </numRef>
          </cat>
          <val>
            <numRef>
              <f>'گزارشات'!$E$4:$E$8</f>
            </numRef>
          </val>
        </ser>
        <ser>
          <idx val="4"/>
          <order val="4"/>
          <tx>
            <strRef>
              <f>'گزارشات'!F3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'گزارشات'!$A$4:$A$8</f>
            </numRef>
          </cat>
          <val>
            <numRef>
              <f>'گزارشات'!$F$4:$F$8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sks1405Table" displayName="Tasks1405Table" ref="A1:T670" headerRowCount="1">
  <autoFilter ref="A1:T670"/>
  <tableColumns count="20">
    <tableColumn id="1" name="کد کار"/>
    <tableColumn id="2" name="شرکت"/>
    <tableColumn id="3" name="گروه کار"/>
    <tableColumn id="4" name="شرح کار"/>
    <tableColumn id="5" name="تناوب"/>
    <tableColumn id="6" name="دوره/ماه"/>
    <tableColumn id="7" name="تاریخ سررسید میلادی"/>
    <tableColumn id="8" name="تاریخ سررسید شمسی"/>
    <tableColumn id="9" name="روز یادآوری"/>
    <tableColumn id="10" name="تاریخ یادآوری میلادی"/>
    <tableColumn id="11" name="اولویت"/>
    <tableColumn id="12" name="وضعیت"/>
    <tableColumn id="13" name="وضعیت سررسید"/>
    <tableColumn id="14" name="مسئول/پیگیر"/>
    <tableColumn id="15" name="درصد پیشرفت"/>
    <tableColumn id="16" name="تاریخ انجام"/>
    <tableColumn id="17" name="توضیحات"/>
    <tableColumn id="18" name="منبع/نوع"/>
    <tableColumn id="19" name="کد الگو"/>
    <tableColumn id="20" name="قابل ویرایش؟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ompaniesTable" displayName="CompaniesTable" ref="A1:K20" headerRowCount="1">
  <autoFilter ref="A1:K20"/>
  <tableColumns count="11">
    <tableColumn id="1" name="نام شرکت"/>
    <tableColumn id="2" name="نوع مجموعه"/>
    <tableColumn id="3" name="روز/ساعت حضور"/>
    <tableColumn id="4" name="نرم‌افزار حسابداری"/>
    <tableColumn id="5" name="مدیرعامل"/>
    <tableColumn id="6" name="مدیر مالی"/>
    <tableColumn id="7" name="شماره تماس"/>
    <tableColumn id="8" name="آدرس"/>
    <tableColumn id="9" name="نام کاربری سامانه مالیات"/>
    <tableColumn id="10" name="کد کارگاه/بیمه"/>
    <tableColumn id="11" name="توضیحات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WeeklyScheduleTable" displayName="WeeklyScheduleTable" ref="A1:F20" headerRowCount="1">
  <autoFilter ref="A1:F20"/>
  <tableColumns count="6">
    <tableColumn id="1" name="ترتیب"/>
    <tableColumn id="2" name="روز"/>
    <tableColumn id="3" name="بازه حضور"/>
    <tableColumn id="4" name="شرکت"/>
    <tableColumn id="5" name="نوع حضور"/>
    <tableColumn id="6" name="کارهای پیشنهادی همان روز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alendar1405Table" displayName="Calendar1405Table" ref="A1:I366" headerRowCount="1">
  <autoFilter ref="A1:I366"/>
  <tableColumns count="9">
    <tableColumn id="1" name="تاریخ میلادی"/>
    <tableColumn id="2" name="تاریخ شمسی"/>
    <tableColumn id="3" name="ماه"/>
    <tableColumn id="4" name="روز ماه"/>
    <tableColumn id="5" name="فصل"/>
    <tableColumn id="6" name="یادداشت"/>
    <tableColumn id="7" name="تعداد سررسید"/>
    <tableColumn id="8" name="تعداد کار باز"/>
    <tableColumn id="9" name="توضیحات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skTemplatesTable" displayName="TaskTemplatesTable" ref="A1:H80" headerRowCount="1">
  <autoFilter ref="A1:H80"/>
  <tableColumns count="8">
    <tableColumn id="1" name="کد الگو"/>
    <tableColumn id="2" name="گروه کار"/>
    <tableColumn id="3" name="شرح کار"/>
    <tableColumn id="4" name="تناوب"/>
    <tableColumn id="5" name="سررسید پیش‌فرض"/>
    <tableColumn id="6" name="روز یادآوری"/>
    <tableColumn id="7" name="اولویت"/>
    <tableColumn id="8" name="توضیح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DailyChecklistTable" displayName="DailyChecklistTable" ref="A1:G80" headerRowCount="1">
  <autoFilter ref="A1:G80"/>
  <tableColumns count="7">
    <tableColumn id="1" name="شرکت"/>
    <tableColumn id="2" name="حوزه"/>
    <tableColumn id="3" name="شرح کنترل"/>
    <tableColumn id="4" name="زمان پیشنهادی"/>
    <tableColumn id="5" name="آخرین تاریخ انجام"/>
    <tableColumn id="6" name="وضعیت"/>
    <tableColumn id="7" name="یادداشت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FollowUpsTable" displayName="FollowUpsTable" ref="A1:K200" headerRowCount="1">
  <autoFilter ref="A1:K200"/>
  <tableColumns count="11">
    <tableColumn id="1" name="تاریخ ثبت"/>
    <tableColumn id="2" name="شرکت"/>
    <tableColumn id="3" name="درخواست‌دهنده"/>
    <tableColumn id="4" name="موضوع/درخواست"/>
    <tableColumn id="5" name="اقدام بعدی"/>
    <tableColumn id="6" name="تاریخ پیگیری میلادی"/>
    <tableColumn id="7" name="تاریخ پیگیری شمسی"/>
    <tableColumn id="8" name="اولویت"/>
    <tableColumn id="9" name="وضعیت"/>
    <tableColumn id="10" name="وضعیت سررسید"/>
    <tableColumn id="11" name="نتیجه/توضیحات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BankReconTable" displayName="BankReconTable" ref="A1:L200" headerRowCount="1">
  <autoFilter ref="A1:L200"/>
  <tableColumns count="12">
    <tableColumn id="1" name="شرکت"/>
    <tableColumn id="2" name="حساب/بانک"/>
    <tableColumn id="3" name="دوره/ماه"/>
    <tableColumn id="4" name="تاریخ کشف"/>
    <tableColumn id="5" name="مبلغ"/>
    <tableColumn id="6" name="نوع مغایرت"/>
    <tableColumn id="7" name="شرح مغایرت"/>
    <tableColumn id="8" name="اقدام اصلاحی"/>
    <tableColumn id="9" name="وضعیت"/>
    <tableColumn id="10" name="مسئول"/>
    <tableColumn id="11" name="تاریخ هدف"/>
    <tableColumn id="12" name="توضیحات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SystemsInfoTable" displayName="SystemsInfoTable" ref="A1:H100" headerRowCount="1">
  <autoFilter ref="A1:H100"/>
  <tableColumns count="8">
    <tableColumn id="1" name="شرکت"/>
    <tableColumn id="2" name="سامانه/موضوع"/>
    <tableColumn id="3" name="آدرس سایت"/>
    <tableColumn id="4" name="نام کاربری"/>
    <tableColumn id="5" name="شناسه/کد مرتبط"/>
    <tableColumn id="6" name="رمز عبور"/>
    <tableColumn id="7" name="تاریخ آخرین کنترل"/>
    <tableColumn id="8" name="توضیحات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ErrorsLessonsTable" displayName="ErrorsLessonsTable" ref="A1:I200" headerRowCount="1">
  <autoFilter ref="A1:I200"/>
  <tableColumns count="9">
    <tableColumn id="1" name="شرکت"/>
    <tableColumn id="2" name="تاریخ"/>
    <tableColumn id="3" name="فرآیند"/>
    <tableColumn id="4" name="شرح خطا/ریسک"/>
    <tableColumn id="5" name="علت ریشه‌ای"/>
    <tableColumn id="6" name="راه‌حل/اصلاح"/>
    <tableColumn id="7" name="شماره سند/مدرک"/>
    <tableColumn id="8" name="اقدام پیشگیرانه"/>
    <tableColumn id="9" name="وضعیت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داشبورد مدیریت حسابداری چندشرکتی - سال ۱۴۰۵</t>
        </is>
      </c>
    </row>
    <row r="3">
      <c r="A3" s="2" t="inlineStr">
        <is>
          <t>فیلتر شرکت</t>
        </is>
      </c>
      <c r="B3" s="2" t="inlineStr">
        <is>
          <t>همه شرکت‌ها</t>
        </is>
      </c>
      <c r="C3" s="2" t="inlineStr">
        <is>
          <t>تاریخ امروز میلادی</t>
        </is>
      </c>
      <c r="D3" s="3">
        <f>TODAY()</f>
        <v/>
      </c>
      <c r="E3" s="2" t="inlineStr">
        <is>
          <t>امروز شمسی</t>
        </is>
      </c>
      <c r="F3" s="2">
        <f>XLOOKUP(TODAY(),'تقویم 1405'!$A:$A,'تقویم 1405'!$B:$B,"خارج از سال ۱۴۰۵")</f>
        <v/>
      </c>
    </row>
    <row r="5">
      <c r="A5" s="4" t="inlineStr">
        <is>
          <t>شاخص</t>
        </is>
      </c>
      <c r="B5" s="4" t="inlineStr">
        <is>
          <t>مقدار</t>
        </is>
      </c>
      <c r="C5" s="4" t="inlineStr">
        <is>
          <t>توضیح</t>
        </is>
      </c>
      <c r="D5" s="4" t="n"/>
      <c r="E5" s="4" t="n"/>
      <c r="F5" s="4" t="n"/>
      <c r="G5" s="4" t="n"/>
      <c r="H5" s="4" t="n"/>
    </row>
    <row r="6">
      <c r="A6" s="5" t="inlineStr">
        <is>
          <t>کل کارها</t>
        </is>
      </c>
      <c r="B6" s="5">
        <f>IF($B$3="همه شرکت‌ها",COUNTA('کارهای 1405'!$D:$D)-1,COUNTIF('کارهای 1405'!$B:$B,$B$3))</f>
        <v/>
      </c>
      <c r="C6" s="5" t="inlineStr">
        <is>
          <t>همه کارهای ثبت‌شده/پیش‌فرض</t>
        </is>
      </c>
    </row>
    <row r="7">
      <c r="A7" s="5" t="inlineStr">
        <is>
          <t>کارهای باز</t>
        </is>
      </c>
      <c r="B7" s="5">
        <f>IF($B$3="همه شرکت‌ها",COUNTIFS('کارهای 1405'!$L:$L,"&lt;&gt;انجام شده",'کارهای 1405'!$L:$L,"&lt;&gt;لغو شده",'کارهای 1405'!$D:$D,"&lt;&gt;"),COUNTIFS('کارهای 1405'!$B:$B,$B$3,'کارهای 1405'!$L:$L,"&lt;&gt;انجام شده",'کارهای 1405'!$L:$L,"&lt;&gt;لغو شده",'کارهای 1405'!$D:$D,"&lt;&gt;"))</f>
        <v/>
      </c>
      <c r="C7" s="5" t="inlineStr">
        <is>
          <t>انجام‌نشده و لغونشده</t>
        </is>
      </c>
    </row>
    <row r="8">
      <c r="A8" s="5" t="inlineStr">
        <is>
          <t>عقب‌افتاده</t>
        </is>
      </c>
      <c r="B8" s="5">
        <f>IF($B$3="همه شرکت‌ها",COUNTIFS('کارهای 1405'!$M:$M,"عقب‌افتاده"),COUNTIFS('کارهای 1405'!$B:$B,$B$3,'کارهای 1405'!$M:$M,"عقب‌افتاده"))</f>
        <v/>
      </c>
      <c r="C8" s="5" t="inlineStr">
        <is>
          <t>سررسید گذشته و هنوز انجام نشده</t>
        </is>
      </c>
    </row>
    <row r="9">
      <c r="A9" s="5" t="inlineStr">
        <is>
          <t>سررسید امروز</t>
        </is>
      </c>
      <c r="B9" s="5">
        <f>IF($B$3="همه شرکت‌ها",COUNTIFS('کارهای 1405'!$M:$M,"امروز"),COUNTIFS('کارهای 1405'!$B:$B,$B$3,'کارهای 1405'!$M:$M,"امروز"))</f>
        <v/>
      </c>
      <c r="C9" s="5" t="inlineStr">
        <is>
          <t>کارهایی که امروز باید انجام شوند</t>
        </is>
      </c>
    </row>
    <row r="10">
      <c r="A10" s="5" t="inlineStr">
        <is>
          <t>تا ۷ روز آینده</t>
        </is>
      </c>
      <c r="B10" s="5">
        <f>IF($B$3="همه شرکت‌ها",COUNTIFS('کارهای 1405'!$M:$M,"تا ۷ روز"),COUNTIFS('کارهای 1405'!$B:$B,$B$3,'کارهای 1405'!$M:$M,"تا ۷ روز"))</f>
        <v/>
      </c>
      <c r="C10" s="5" t="inlineStr">
        <is>
          <t>هشدار زودهنگام</t>
        </is>
      </c>
    </row>
    <row r="11">
      <c r="A11" s="5" t="inlineStr">
        <is>
          <t>تا ۱۵ روز آینده</t>
        </is>
      </c>
      <c r="B11" s="5">
        <f>IF($B$3="همه شرکت‌ها",COUNTIFS('کارهای 1405'!$M:$M,"تا ۱۵ روز"),COUNTIFS('کارهای 1405'!$B:$B,$B$3,'کارهای 1405'!$M:$M,"تا ۱۵ روز"))</f>
        <v/>
      </c>
      <c r="C11" s="5" t="inlineStr">
        <is>
          <t>برنامه‌ریزی قبل از لحظه آخر</t>
        </is>
      </c>
    </row>
    <row r="12">
      <c r="A12" s="5" t="inlineStr">
        <is>
          <t>انجام شده</t>
        </is>
      </c>
      <c r="B12" s="5">
        <f>IF($B$3="همه شرکت‌ها",COUNTIFS('کارهای 1405'!$L:$L,"انجام شده"),COUNTIFS('کارهای 1405'!$B:$B,$B$3,'کارهای 1405'!$L:$L,"انجام شده"))</f>
        <v/>
      </c>
      <c r="C12" s="5" t="inlineStr">
        <is>
          <t>کارهای بسته‌شده</t>
        </is>
      </c>
    </row>
    <row r="13">
      <c r="A13" s="5" t="inlineStr">
        <is>
          <t>نرخ انجام</t>
        </is>
      </c>
      <c r="B13" s="6">
        <f>IFERROR(B12/B6,0)</f>
        <v/>
      </c>
      <c r="C13" s="5" t="inlineStr">
        <is>
          <t>انجام شده / کل کارها</t>
        </is>
      </c>
    </row>
    <row r="15">
      <c r="A15" s="7" t="inlineStr">
        <is>
          <t>روش استفاده: هر روز ابتدا داشبورد و سپس شیت «کارهای 1405» را فیلتر کنید. با تغییر وضعیت، تاریخ انجام یا شرکت، گزارش‌ها خودکار به‌روز می‌شوند.</t>
        </is>
      </c>
    </row>
    <row r="17">
      <c r="A17" s="4" t="inlineStr">
        <is>
          <t>شرکت</t>
        </is>
      </c>
      <c r="B17" s="4" t="inlineStr">
        <is>
          <t>کل</t>
        </is>
      </c>
      <c r="C17" s="4" t="inlineStr">
        <is>
          <t>باز</t>
        </is>
      </c>
      <c r="D17" s="4" t="inlineStr">
        <is>
          <t>انجام شده</t>
        </is>
      </c>
      <c r="E17" s="4" t="inlineStr">
        <is>
          <t>عقب‌افتاده</t>
        </is>
      </c>
      <c r="F17" s="4" t="inlineStr">
        <is>
          <t>امروز</t>
        </is>
      </c>
      <c r="G17" s="4" t="inlineStr">
        <is>
          <t>تا ۷ روز</t>
        </is>
      </c>
      <c r="H17" s="4" t="inlineStr">
        <is>
          <t>نرخ انجام</t>
        </is>
      </c>
    </row>
    <row r="18">
      <c r="A18" s="5" t="inlineStr">
        <is>
          <t>موسسه شهر کتاب مرکزی</t>
        </is>
      </c>
      <c r="B18" s="5">
        <f>COUNTIF('کارهای 1405'!$B:$B,A18)</f>
        <v/>
      </c>
      <c r="C18" s="5">
        <f>COUNTIFS('کارهای 1405'!$B:$B,A18,'کارهای 1405'!$L:$L,"&lt;&gt;انجام شده",'کارهای 1405'!$L:$L,"&lt;&gt;لغو شده")</f>
        <v/>
      </c>
      <c r="D18" s="5">
        <f>COUNTIFS('کارهای 1405'!$B:$B,A18,'کارهای 1405'!$L:$L,"انجام شده")</f>
        <v/>
      </c>
      <c r="E18" s="5">
        <f>COUNTIFS('کارهای 1405'!$B:$B,A18,'کارهای 1405'!$M:$M,"عقب‌افتاده")</f>
        <v/>
      </c>
      <c r="F18" s="5">
        <f>COUNTIFS('کارهای 1405'!$B:$B,A18,'کارهای 1405'!$M:$M,"امروز")</f>
        <v/>
      </c>
      <c r="G18" s="5">
        <f>COUNTIFS('کارهای 1405'!$B:$B,A18,'کارهای 1405'!$M:$M,"تا ۷ روز")</f>
        <v/>
      </c>
      <c r="H18" s="6">
        <f>IFERROR(D18/B18,0)</f>
        <v/>
      </c>
    </row>
    <row r="19">
      <c r="A19" s="5" t="inlineStr">
        <is>
          <t>فروشگاه شهر کتاب مرکزی</t>
        </is>
      </c>
      <c r="B19" s="5">
        <f>COUNTIF('کارهای 1405'!$B:$B,A19)</f>
        <v/>
      </c>
      <c r="C19" s="5">
        <f>COUNTIFS('کارهای 1405'!$B:$B,A19,'کارهای 1405'!$L:$L,"&lt;&gt;انجام شده",'کارهای 1405'!$L:$L,"&lt;&gt;لغو شده")</f>
        <v/>
      </c>
      <c r="D19" s="5">
        <f>COUNTIFS('کارهای 1405'!$B:$B,A19,'کارهای 1405'!$L:$L,"انجام شده")</f>
        <v/>
      </c>
      <c r="E19" s="5">
        <f>COUNTIFS('کارهای 1405'!$B:$B,A19,'کارهای 1405'!$M:$M,"عقب‌افتاده")</f>
        <v/>
      </c>
      <c r="F19" s="5">
        <f>COUNTIFS('کارهای 1405'!$B:$B,A19,'کارهای 1405'!$M:$M,"امروز")</f>
        <v/>
      </c>
      <c r="G19" s="5">
        <f>COUNTIFS('کارهای 1405'!$B:$B,A19,'کارهای 1405'!$M:$M,"تا ۷ روز")</f>
        <v/>
      </c>
      <c r="H19" s="6">
        <f>IFERROR(D19/B19,0)</f>
        <v/>
      </c>
    </row>
    <row r="20">
      <c r="A20" s="5" t="inlineStr">
        <is>
          <t>رستگار صنعت پارس</t>
        </is>
      </c>
      <c r="B20" s="5">
        <f>COUNTIF('کارهای 1405'!$B:$B,A20)</f>
        <v/>
      </c>
      <c r="C20" s="5">
        <f>COUNTIFS('کارهای 1405'!$B:$B,A20,'کارهای 1405'!$L:$L,"&lt;&gt;انجام شده",'کارهای 1405'!$L:$L,"&lt;&gt;لغو شده")</f>
        <v/>
      </c>
      <c r="D20" s="5">
        <f>COUNTIFS('کارهای 1405'!$B:$B,A20,'کارهای 1405'!$L:$L,"انجام شده")</f>
        <v/>
      </c>
      <c r="E20" s="5">
        <f>COUNTIFS('کارهای 1405'!$B:$B,A20,'کارهای 1405'!$M:$M,"عقب‌افتاده")</f>
        <v/>
      </c>
      <c r="F20" s="5">
        <f>COUNTIFS('کارهای 1405'!$B:$B,A20,'کارهای 1405'!$M:$M,"امروز")</f>
        <v/>
      </c>
      <c r="G20" s="5">
        <f>COUNTIFS('کارهای 1405'!$B:$B,A20,'کارهای 1405'!$M:$M,"تا ۷ روز")</f>
        <v/>
      </c>
      <c r="H20" s="6">
        <f>IFERROR(D20/B20,0)</f>
        <v/>
      </c>
    </row>
    <row r="21">
      <c r="A21" s="5" t="inlineStr">
        <is>
          <t>کیوان الکترونیک ایرانیان</t>
        </is>
      </c>
      <c r="B21" s="5">
        <f>COUNTIF('کارهای 1405'!$B:$B,A21)</f>
        <v/>
      </c>
      <c r="C21" s="5">
        <f>COUNTIFS('کارهای 1405'!$B:$B,A21,'کارهای 1405'!$L:$L,"&lt;&gt;انجام شده",'کارهای 1405'!$L:$L,"&lt;&gt;لغو شده")</f>
        <v/>
      </c>
      <c r="D21" s="5">
        <f>COUNTIFS('کارهای 1405'!$B:$B,A21,'کارهای 1405'!$L:$L,"انجام شده")</f>
        <v/>
      </c>
      <c r="E21" s="5">
        <f>COUNTIFS('کارهای 1405'!$B:$B,A21,'کارهای 1405'!$M:$M,"عقب‌افتاده")</f>
        <v/>
      </c>
      <c r="F21" s="5">
        <f>COUNTIFS('کارهای 1405'!$B:$B,A21,'کارهای 1405'!$M:$M,"امروز")</f>
        <v/>
      </c>
      <c r="G21" s="5">
        <f>COUNTIFS('کارهای 1405'!$B:$B,A21,'کارهای 1405'!$M:$M,"تا ۷ روز")</f>
        <v/>
      </c>
      <c r="H21" s="6">
        <f>IFERROR(D21/B21,0)</f>
        <v/>
      </c>
    </row>
    <row r="22">
      <c r="A22" s="5" t="inlineStr">
        <is>
          <t>کیهان توسعه البرز</t>
        </is>
      </c>
      <c r="B22" s="5">
        <f>COUNTIF('کارهای 1405'!$B:$B,A22)</f>
        <v/>
      </c>
      <c r="C22" s="5">
        <f>COUNTIFS('کارهای 1405'!$B:$B,A22,'کارهای 1405'!$L:$L,"&lt;&gt;انجام شده",'کارهای 1405'!$L:$L,"&lt;&gt;لغو شده")</f>
        <v/>
      </c>
      <c r="D22" s="5">
        <f>COUNTIFS('کارهای 1405'!$B:$B,A22,'کارهای 1405'!$L:$L,"انجام شده")</f>
        <v/>
      </c>
      <c r="E22" s="5">
        <f>COUNTIFS('کارهای 1405'!$B:$B,A22,'کارهای 1405'!$M:$M,"عقب‌افتاده")</f>
        <v/>
      </c>
      <c r="F22" s="5">
        <f>COUNTIFS('کارهای 1405'!$B:$B,A22,'کارهای 1405'!$M:$M,"امروز")</f>
        <v/>
      </c>
      <c r="G22" s="5">
        <f>COUNTIFS('کارهای 1405'!$B:$B,A22,'کارهای 1405'!$M:$M,"تا ۷ روز")</f>
        <v/>
      </c>
      <c r="H22" s="6">
        <f>IFERROR(D22/B22,0)</f>
        <v/>
      </c>
    </row>
  </sheetData>
  <mergeCells count="2">
    <mergeCell ref="A15:H15"/>
    <mergeCell ref="A1:H1"/>
  </mergeCells>
  <dataValidations count="1">
    <dataValidation sqref="B3" showDropDown="0" showInputMessage="0" showErrorMessage="0" allowBlank="0" type="list">
      <formula1>'تنظیمات'!$A$2:$A$7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671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45" customWidth="1" min="4" max="4"/>
    <col width="14" customWidth="1" min="5" max="5"/>
    <col width="14" customWidth="1" min="6" max="6"/>
    <col width="18" customWidth="1" min="7" max="7"/>
    <col width="16" customWidth="1" min="8" max="8"/>
    <col width="12" customWidth="1" min="9" max="9"/>
    <col width="18" customWidth="1" min="10" max="10"/>
    <col width="12" customWidth="1" min="11" max="11"/>
    <col width="13" customWidth="1" min="12" max="12"/>
    <col width="14" customWidth="1" min="13" max="13"/>
    <col width="16" customWidth="1" min="14" max="14"/>
    <col width="12" customWidth="1" min="15" max="15"/>
    <col width="16" customWidth="1" min="16" max="16"/>
    <col width="42" customWidth="1" min="17" max="17"/>
    <col width="16" customWidth="1" min="18" max="18"/>
    <col width="12" customWidth="1" min="19" max="19"/>
    <col width="12" customWidth="1" min="20" max="20"/>
  </cols>
  <sheetData>
    <row r="1">
      <c r="A1" s="8" t="inlineStr">
        <is>
          <t>کد کار</t>
        </is>
      </c>
      <c r="B1" s="8" t="inlineStr">
        <is>
          <t>شرکت</t>
        </is>
      </c>
      <c r="C1" s="8" t="inlineStr">
        <is>
          <t>گروه کار</t>
        </is>
      </c>
      <c r="D1" s="8" t="inlineStr">
        <is>
          <t>شرح کار</t>
        </is>
      </c>
      <c r="E1" s="8" t="inlineStr">
        <is>
          <t>تناوب</t>
        </is>
      </c>
      <c r="F1" s="8" t="inlineStr">
        <is>
          <t>دوره/ماه</t>
        </is>
      </c>
      <c r="G1" s="8" t="inlineStr">
        <is>
          <t>تاریخ سررسید میلادی</t>
        </is>
      </c>
      <c r="H1" s="8" t="inlineStr">
        <is>
          <t>تاریخ سررسید شمسی</t>
        </is>
      </c>
      <c r="I1" s="8" t="inlineStr">
        <is>
          <t>روز یادآوری</t>
        </is>
      </c>
      <c r="J1" s="8" t="inlineStr">
        <is>
          <t>تاریخ یادآوری میلادی</t>
        </is>
      </c>
      <c r="K1" s="8" t="inlineStr">
        <is>
          <t>اولویت</t>
        </is>
      </c>
      <c r="L1" s="8" t="inlineStr">
        <is>
          <t>وضعیت</t>
        </is>
      </c>
      <c r="M1" s="8" t="inlineStr">
        <is>
          <t>وضعیت سررسید</t>
        </is>
      </c>
      <c r="N1" s="8" t="inlineStr">
        <is>
          <t>مسئول/پیگیر</t>
        </is>
      </c>
      <c r="O1" s="8" t="inlineStr">
        <is>
          <t>درصد پیشرفت</t>
        </is>
      </c>
      <c r="P1" s="8" t="inlineStr">
        <is>
          <t>تاریخ انجام</t>
        </is>
      </c>
      <c r="Q1" s="8" t="inlineStr">
        <is>
          <t>توضیحات</t>
        </is>
      </c>
      <c r="R1" s="8" t="inlineStr">
        <is>
          <t>منبع/نوع</t>
        </is>
      </c>
      <c r="S1" s="8" t="inlineStr">
        <is>
          <t>کد الگو</t>
        </is>
      </c>
      <c r="T1" s="8" t="inlineStr">
        <is>
          <t>قابل ویرایش؟</t>
        </is>
      </c>
    </row>
    <row r="2">
      <c r="A2" s="9" t="inlineStr">
        <is>
          <t>1405-0001</t>
        </is>
      </c>
      <c r="B2" s="9" t="inlineStr">
        <is>
          <t>موسسه شهر کتاب مرکزی</t>
        </is>
      </c>
      <c r="C2" s="9" t="inlineStr">
        <is>
          <t>پایان ماه</t>
        </is>
      </c>
      <c r="D2" s="9" t="inlineStr">
        <is>
          <t>مغایرت‌گیری بانکی ماه فروردین</t>
        </is>
      </c>
      <c r="E2" s="9" t="inlineStr">
        <is>
          <t>ماهانه</t>
        </is>
      </c>
      <c r="F2" s="9" t="inlineStr">
        <is>
          <t>فروردین</t>
        </is>
      </c>
      <c r="G2" s="10" t="n">
        <v>46137</v>
      </c>
      <c r="H2" s="9" t="inlineStr">
        <is>
          <t>1405/02/05</t>
        </is>
      </c>
      <c r="I2" s="9" t="n">
        <v>5</v>
      </c>
      <c r="J2" s="10">
        <f>IF(G2="","",G2-I2)</f>
        <v/>
      </c>
      <c r="K2" s="9" t="inlineStr">
        <is>
          <t>بالا</t>
        </is>
      </c>
      <c r="L2" s="9" t="inlineStr">
        <is>
          <t>باز</t>
        </is>
      </c>
      <c r="M2" s="9">
        <f>IF(D2="","",IF(L2="انجام شده","انجام شده",IF(L2="لغو شده","لغو شده",IF(G2&lt;TODAY(),"عقب‌افتاده",IF(G2=TODAY(),"امروز",IF(G2&lt;=TODAY()+7,"تا ۷ روز",IF(G2&lt;=TODAY()+15,"تا ۱۵ روز","آینده")))))))</f>
        <v/>
      </c>
      <c r="N2" s="9" t="inlineStr"/>
      <c r="O2" s="9" t="n">
        <v>0</v>
      </c>
      <c r="P2" s="10" t="n"/>
      <c r="Q2" s="9" t="inlineStr"/>
      <c r="R2" s="9" t="inlineStr">
        <is>
          <t>پیش‌فرض 1405</t>
        </is>
      </c>
      <c r="S2" s="9" t="inlineStr">
        <is>
          <t>T101</t>
        </is>
      </c>
      <c r="T2" s="9" t="inlineStr">
        <is>
          <t>بله</t>
        </is>
      </c>
    </row>
    <row r="3">
      <c r="A3" s="9" t="inlineStr">
        <is>
          <t>1405-0002</t>
        </is>
      </c>
      <c r="B3" s="9" t="inlineStr">
        <is>
          <t>موسسه شهر کتاب مرکزی</t>
        </is>
      </c>
      <c r="C3" s="9" t="inlineStr">
        <is>
          <t>پایان ماه</t>
        </is>
      </c>
      <c r="D3" s="9" t="inlineStr">
        <is>
          <t>کنترل نهایی اسناد ماه فروردین</t>
        </is>
      </c>
      <c r="E3" s="9" t="inlineStr">
        <is>
          <t>ماهانه</t>
        </is>
      </c>
      <c r="F3" s="9" t="inlineStr">
        <is>
          <t>فروردین</t>
        </is>
      </c>
      <c r="G3" s="10" t="n">
        <v>46139</v>
      </c>
      <c r="H3" s="9" t="inlineStr">
        <is>
          <t>1405/02/07</t>
        </is>
      </c>
      <c r="I3" s="9" t="n">
        <v>5</v>
      </c>
      <c r="J3" s="10">
        <f>IF(G3="","",G3-I3)</f>
        <v/>
      </c>
      <c r="K3" s="9" t="inlineStr">
        <is>
          <t>بالا</t>
        </is>
      </c>
      <c r="L3" s="9" t="inlineStr">
        <is>
          <t>باز</t>
        </is>
      </c>
      <c r="M3" s="9">
        <f>IF(D3="","",IF(L3="انجام شده","انجام شده",IF(L3="لغو شده","لغو شده",IF(G3&lt;TODAY(),"عقب‌افتاده",IF(G3=TODAY(),"امروز",IF(G3&lt;=TODAY()+7,"تا ۷ روز",IF(G3&lt;=TODAY()+15,"تا ۱۵ روز","آینده")))))))</f>
        <v/>
      </c>
      <c r="N3" s="9" t="inlineStr"/>
      <c r="O3" s="9" t="n">
        <v>0</v>
      </c>
      <c r="P3" s="10" t="n"/>
      <c r="Q3" s="9" t="inlineStr"/>
      <c r="R3" s="9" t="inlineStr">
        <is>
          <t>پیش‌فرض 1405</t>
        </is>
      </c>
      <c r="S3" s="9" t="inlineStr">
        <is>
          <t>T102</t>
        </is>
      </c>
      <c r="T3" s="9" t="inlineStr">
        <is>
          <t>بله</t>
        </is>
      </c>
    </row>
    <row r="4">
      <c r="A4" s="9" t="inlineStr">
        <is>
          <t>1405-0003</t>
        </is>
      </c>
      <c r="B4" s="9" t="inlineStr">
        <is>
          <t>موسسه شهر کتاب مرکزی</t>
        </is>
      </c>
      <c r="C4" s="9" t="inlineStr">
        <is>
          <t>پایان ماه</t>
        </is>
      </c>
      <c r="D4" s="9" t="inlineStr">
        <is>
          <t>بستن حساب‌های ماه فروردین و کنترل مانده‌ها</t>
        </is>
      </c>
      <c r="E4" s="9" t="inlineStr">
        <is>
          <t>ماهانه</t>
        </is>
      </c>
      <c r="F4" s="9" t="inlineStr">
        <is>
          <t>فروردین</t>
        </is>
      </c>
      <c r="G4" s="10" t="n">
        <v>46142</v>
      </c>
      <c r="H4" s="9" t="inlineStr">
        <is>
          <t>1405/02/10</t>
        </is>
      </c>
      <c r="I4" s="9" t="n">
        <v>7</v>
      </c>
      <c r="J4" s="10">
        <f>IF(G4="","",G4-I4)</f>
        <v/>
      </c>
      <c r="K4" s="9" t="inlineStr">
        <is>
          <t>بالا</t>
        </is>
      </c>
      <c r="L4" s="9" t="inlineStr">
        <is>
          <t>باز</t>
        </is>
      </c>
      <c r="M4" s="9">
        <f>IF(D4="","",IF(L4="انجام شده","انجام شده",IF(L4="لغو شده","لغو شده",IF(G4&lt;TODAY(),"عقب‌افتاده",IF(G4=TODAY(),"امروز",IF(G4&lt;=TODAY()+7,"تا ۷ روز",IF(G4&lt;=TODAY()+15,"تا ۱۵ روز","آینده")))))))</f>
        <v/>
      </c>
      <c r="N4" s="9" t="inlineStr"/>
      <c r="O4" s="9" t="n">
        <v>0</v>
      </c>
      <c r="P4" s="10" t="n"/>
      <c r="Q4" s="9" t="inlineStr"/>
      <c r="R4" s="9" t="inlineStr">
        <is>
          <t>پیش‌فرض 1405</t>
        </is>
      </c>
      <c r="S4" s="9" t="inlineStr">
        <is>
          <t>T103</t>
        </is>
      </c>
      <c r="T4" s="9" t="inlineStr">
        <is>
          <t>بله</t>
        </is>
      </c>
    </row>
    <row r="5">
      <c r="A5" s="9" t="inlineStr">
        <is>
          <t>1405-0004</t>
        </is>
      </c>
      <c r="B5" s="9" t="inlineStr">
        <is>
          <t>موسسه شهر کتاب مرکزی</t>
        </is>
      </c>
      <c r="C5" s="9" t="inlineStr">
        <is>
          <t>گزارش</t>
        </is>
      </c>
      <c r="D5" s="9" t="inlineStr">
        <is>
          <t>تهیه گزارش مدیریت ماه فروردین</t>
        </is>
      </c>
      <c r="E5" s="9" t="inlineStr">
        <is>
          <t>ماهانه</t>
        </is>
      </c>
      <c r="F5" s="9" t="inlineStr">
        <is>
          <t>فروردین</t>
        </is>
      </c>
      <c r="G5" s="10" t="n">
        <v>46142</v>
      </c>
      <c r="H5" s="9" t="inlineStr">
        <is>
          <t>1405/02/10</t>
        </is>
      </c>
      <c r="I5" s="9" t="n">
        <v>5</v>
      </c>
      <c r="J5" s="10">
        <f>IF(G5="","",G5-I5)</f>
        <v/>
      </c>
      <c r="K5" s="9" t="inlineStr">
        <is>
          <t>متوسط</t>
        </is>
      </c>
      <c r="L5" s="9" t="inlineStr">
        <is>
          <t>باز</t>
        </is>
      </c>
      <c r="M5" s="9">
        <f>IF(D5="","",IF(L5="انجام شده","انجام شده",IF(L5="لغو شده","لغو شده",IF(G5&lt;TODAY(),"عقب‌افتاده",IF(G5=TODAY(),"امروز",IF(G5&lt;=TODAY()+7,"تا ۷ روز",IF(G5&lt;=TODAY()+15,"تا ۱۵ روز","آینده")))))))</f>
        <v/>
      </c>
      <c r="N5" s="9" t="inlineStr"/>
      <c r="O5" s="9" t="n">
        <v>0</v>
      </c>
      <c r="P5" s="10" t="n"/>
      <c r="Q5" s="9" t="inlineStr"/>
      <c r="R5" s="9" t="inlineStr">
        <is>
          <t>پیش‌فرض 1405</t>
        </is>
      </c>
      <c r="S5" s="9" t="inlineStr">
        <is>
          <t>T104</t>
        </is>
      </c>
      <c r="T5" s="9" t="inlineStr">
        <is>
          <t>بله</t>
        </is>
      </c>
    </row>
    <row r="6">
      <c r="A6" s="9" t="inlineStr">
        <is>
          <t>1405-0005</t>
        </is>
      </c>
      <c r="B6" s="9" t="inlineStr">
        <is>
          <t>موسسه شهر کتاب مرکزی</t>
        </is>
      </c>
      <c r="C6" s="9" t="inlineStr">
        <is>
          <t>حقوق و دستمزد</t>
        </is>
      </c>
      <c r="D6" s="9" t="inlineStr">
        <is>
          <t>محاسبه حقوق و دستمزد ماه فروردین</t>
        </is>
      </c>
      <c r="E6" s="9" t="inlineStr">
        <is>
          <t>ماهانه</t>
        </is>
      </c>
      <c r="F6" s="9" t="inlineStr">
        <is>
          <t>فروردین</t>
        </is>
      </c>
      <c r="G6" s="10" t="n">
        <v>46129</v>
      </c>
      <c r="H6" s="9" t="inlineStr">
        <is>
          <t>1405/01/28</t>
        </is>
      </c>
      <c r="I6" s="9" t="n">
        <v>5</v>
      </c>
      <c r="J6" s="10">
        <f>IF(G6="","",G6-I6)</f>
        <v/>
      </c>
      <c r="K6" s="9" t="inlineStr">
        <is>
          <t>بالا</t>
        </is>
      </c>
      <c r="L6" s="9" t="inlineStr">
        <is>
          <t>باز</t>
        </is>
      </c>
      <c r="M6" s="9">
        <f>IF(D6="","",IF(L6="انجام شده","انجام شده",IF(L6="لغو شده","لغو شده",IF(G6&lt;TODAY(),"عقب‌افتاده",IF(G6=TODAY(),"امروز",IF(G6&lt;=TODAY()+7,"تا ۷ روز",IF(G6&lt;=TODAY()+15,"تا ۱۵ روز","آینده")))))))</f>
        <v/>
      </c>
      <c r="N6" s="9" t="inlineStr"/>
      <c r="O6" s="9" t="n">
        <v>0</v>
      </c>
      <c r="P6" s="10" t="n"/>
      <c r="Q6" s="9" t="inlineStr"/>
      <c r="R6" s="9" t="inlineStr">
        <is>
          <t>پیش‌فرض 1405</t>
        </is>
      </c>
      <c r="S6" s="9" t="inlineStr">
        <is>
          <t>T105</t>
        </is>
      </c>
      <c r="T6" s="9" t="inlineStr">
        <is>
          <t>بله</t>
        </is>
      </c>
    </row>
    <row r="7">
      <c r="A7" s="9" t="inlineStr">
        <is>
          <t>1405-0006</t>
        </is>
      </c>
      <c r="B7" s="9" t="inlineStr">
        <is>
          <t>موسسه شهر کتاب مرکزی</t>
        </is>
      </c>
      <c r="C7" s="9" t="inlineStr">
        <is>
          <t>حقوق و دستمزد</t>
        </is>
      </c>
      <c r="D7" s="9" t="inlineStr">
        <is>
          <t>ارسال/پرداخت لیست بیمه ماه فروردین</t>
        </is>
      </c>
      <c r="E7" s="9" t="inlineStr">
        <is>
          <t>ماهانه</t>
        </is>
      </c>
      <c r="F7" s="9" t="inlineStr">
        <is>
          <t>فروردین</t>
        </is>
      </c>
      <c r="G7" s="10" t="n">
        <v>46163</v>
      </c>
      <c r="H7" s="9" t="inlineStr">
        <is>
          <t>1405/02/31</t>
        </is>
      </c>
      <c r="I7" s="9" t="n">
        <v>7</v>
      </c>
      <c r="J7" s="10">
        <f>IF(G7="","",G7-I7)</f>
        <v/>
      </c>
      <c r="K7" s="9" t="inlineStr">
        <is>
          <t>خیلی بالا</t>
        </is>
      </c>
      <c r="L7" s="9" t="inlineStr">
        <is>
          <t>باز</t>
        </is>
      </c>
      <c r="M7" s="9">
        <f>IF(D7="","",IF(L7="انجام شده","انجام شده",IF(L7="لغو شده","لغو شده",IF(G7&lt;TODAY(),"عقب‌افتاده",IF(G7=TODAY(),"امروز",IF(G7&lt;=TODAY()+7,"تا ۷ روز",IF(G7&lt;=TODAY()+15,"تا ۱۵ روز","آینده")))))))</f>
        <v/>
      </c>
      <c r="N7" s="9" t="inlineStr"/>
      <c r="O7" s="9" t="n">
        <v>0</v>
      </c>
      <c r="P7" s="10" t="n"/>
      <c r="Q7" s="9" t="inlineStr"/>
      <c r="R7" s="9" t="inlineStr">
        <is>
          <t>پیش‌فرض 1405</t>
        </is>
      </c>
      <c r="S7" s="9" t="inlineStr">
        <is>
          <t>T106</t>
        </is>
      </c>
      <c r="T7" s="9" t="inlineStr">
        <is>
          <t>بله</t>
        </is>
      </c>
    </row>
    <row r="8">
      <c r="A8" s="9" t="inlineStr">
        <is>
          <t>1405-0007</t>
        </is>
      </c>
      <c r="B8" s="9" t="inlineStr">
        <is>
          <t>موسسه شهر کتاب مرکزی</t>
        </is>
      </c>
      <c r="C8" s="9" t="inlineStr">
        <is>
          <t>حقوق و دستمزد</t>
        </is>
      </c>
      <c r="D8" s="9" t="inlineStr">
        <is>
          <t>ارسال/پرداخت مالیات حقوق ماه فروردین</t>
        </is>
      </c>
      <c r="E8" s="9" t="inlineStr">
        <is>
          <t>ماهانه</t>
        </is>
      </c>
      <c r="F8" s="9" t="inlineStr">
        <is>
          <t>فروردین</t>
        </is>
      </c>
      <c r="G8" s="10" t="n">
        <v>46163</v>
      </c>
      <c r="H8" s="9" t="inlineStr">
        <is>
          <t>1405/02/31</t>
        </is>
      </c>
      <c r="I8" s="9" t="n">
        <v>7</v>
      </c>
      <c r="J8" s="10">
        <f>IF(G8="","",G8-I8)</f>
        <v/>
      </c>
      <c r="K8" s="9" t="inlineStr">
        <is>
          <t>خیلی بالا</t>
        </is>
      </c>
      <c r="L8" s="9" t="inlineStr">
        <is>
          <t>باز</t>
        </is>
      </c>
      <c r="M8" s="9">
        <f>IF(D8="","",IF(L8="انجام شده","انجام شده",IF(L8="لغو شده","لغو شده",IF(G8&lt;TODAY(),"عقب‌افتاده",IF(G8=TODAY(),"امروز",IF(G8&lt;=TODAY()+7,"تا ۷ روز",IF(G8&lt;=TODAY()+15,"تا ۱۵ روز","آینده")))))))</f>
        <v/>
      </c>
      <c r="N8" s="9" t="inlineStr"/>
      <c r="O8" s="9" t="n">
        <v>0</v>
      </c>
      <c r="P8" s="10" t="n"/>
      <c r="Q8" s="9" t="inlineStr"/>
      <c r="R8" s="9" t="inlineStr">
        <is>
          <t>پیش‌فرض 1405</t>
        </is>
      </c>
      <c r="S8" s="9" t="inlineStr">
        <is>
          <t>T107</t>
        </is>
      </c>
      <c r="T8" s="9" t="inlineStr">
        <is>
          <t>بله</t>
        </is>
      </c>
    </row>
    <row r="9">
      <c r="A9" s="9" t="inlineStr">
        <is>
          <t>1405-0008</t>
        </is>
      </c>
      <c r="B9" s="9" t="inlineStr">
        <is>
          <t>موسسه شهر کتاب مرکزی</t>
        </is>
      </c>
      <c r="C9" s="9" t="inlineStr">
        <is>
          <t>بایگانی</t>
        </is>
      </c>
      <c r="D9" s="9" t="inlineStr">
        <is>
          <t>بایگانی مدارک و اسناد ماه فروردین</t>
        </is>
      </c>
      <c r="E9" s="9" t="inlineStr">
        <is>
          <t>ماهانه</t>
        </is>
      </c>
      <c r="F9" s="9" t="inlineStr">
        <is>
          <t>فروردین</t>
        </is>
      </c>
      <c r="G9" s="10" t="n">
        <v>46147</v>
      </c>
      <c r="H9" s="9" t="inlineStr">
        <is>
          <t>1405/02/15</t>
        </is>
      </c>
      <c r="I9" s="9" t="n">
        <v>3</v>
      </c>
      <c r="J9" s="10">
        <f>IF(G9="","",G9-I9)</f>
        <v/>
      </c>
      <c r="K9" s="9" t="inlineStr">
        <is>
          <t>متوسط</t>
        </is>
      </c>
      <c r="L9" s="9" t="inlineStr">
        <is>
          <t>باز</t>
        </is>
      </c>
      <c r="M9" s="9">
        <f>IF(D9="","",IF(L9="انجام شده","انجام شده",IF(L9="لغو شده","لغو شده",IF(G9&lt;TODAY(),"عقب‌افتاده",IF(G9=TODAY(),"امروز",IF(G9&lt;=TODAY()+7,"تا ۷ روز",IF(G9&lt;=TODAY()+15,"تا ۱۵ روز","آینده")))))))</f>
        <v/>
      </c>
      <c r="N9" s="9" t="inlineStr"/>
      <c r="O9" s="9" t="n">
        <v>0</v>
      </c>
      <c r="P9" s="10" t="n"/>
      <c r="Q9" s="9" t="inlineStr"/>
      <c r="R9" s="9" t="inlineStr">
        <is>
          <t>پیش‌فرض 1405</t>
        </is>
      </c>
      <c r="S9" s="9" t="inlineStr">
        <is>
          <t>T108</t>
        </is>
      </c>
      <c r="T9" s="9" t="inlineStr">
        <is>
          <t>بله</t>
        </is>
      </c>
    </row>
    <row r="10">
      <c r="A10" s="9" t="inlineStr">
        <is>
          <t>1405-0009</t>
        </is>
      </c>
      <c r="B10" s="9" t="inlineStr">
        <is>
          <t>موسسه شهر کتاب مرکزی</t>
        </is>
      </c>
      <c r="C10" s="9" t="inlineStr">
        <is>
          <t>پایان ماه</t>
        </is>
      </c>
      <c r="D10" s="9" t="inlineStr">
        <is>
          <t>مغایرت‌گیری بانکی ماه اردیبهشت</t>
        </is>
      </c>
      <c r="E10" s="9" t="inlineStr">
        <is>
          <t>ماهانه</t>
        </is>
      </c>
      <c r="F10" s="9" t="inlineStr">
        <is>
          <t>اردیبهشت</t>
        </is>
      </c>
      <c r="G10" s="10" t="n">
        <v>46168</v>
      </c>
      <c r="H10" s="9" t="inlineStr">
        <is>
          <t>1405/03/05</t>
        </is>
      </c>
      <c r="I10" s="9" t="n">
        <v>5</v>
      </c>
      <c r="J10" s="10">
        <f>IF(G10="","",G10-I10)</f>
        <v/>
      </c>
      <c r="K10" s="9" t="inlineStr">
        <is>
          <t>بالا</t>
        </is>
      </c>
      <c r="L10" s="9" t="inlineStr">
        <is>
          <t>باز</t>
        </is>
      </c>
      <c r="M10" s="9">
        <f>IF(D10="","",IF(L10="انجام شده","انجام شده",IF(L10="لغو شده","لغو شده",IF(G10&lt;TODAY(),"عقب‌افتاده",IF(G10=TODAY(),"امروز",IF(G10&lt;=TODAY()+7,"تا ۷ روز",IF(G10&lt;=TODAY()+15,"تا ۱۵ روز","آینده")))))))</f>
        <v/>
      </c>
      <c r="N10" s="9" t="inlineStr"/>
      <c r="O10" s="9" t="n">
        <v>0</v>
      </c>
      <c r="P10" s="10" t="n"/>
      <c r="Q10" s="9" t="inlineStr"/>
      <c r="R10" s="9" t="inlineStr">
        <is>
          <t>پیش‌فرض 1405</t>
        </is>
      </c>
      <c r="S10" s="9" t="inlineStr">
        <is>
          <t>T101</t>
        </is>
      </c>
      <c r="T10" s="9" t="inlineStr">
        <is>
          <t>بله</t>
        </is>
      </c>
    </row>
    <row r="11">
      <c r="A11" s="9" t="inlineStr">
        <is>
          <t>1405-0010</t>
        </is>
      </c>
      <c r="B11" s="9" t="inlineStr">
        <is>
          <t>موسسه شهر کتاب مرکزی</t>
        </is>
      </c>
      <c r="C11" s="9" t="inlineStr">
        <is>
          <t>پایان ماه</t>
        </is>
      </c>
      <c r="D11" s="9" t="inlineStr">
        <is>
          <t>کنترل نهایی اسناد ماه اردیبهشت</t>
        </is>
      </c>
      <c r="E11" s="9" t="inlineStr">
        <is>
          <t>ماهانه</t>
        </is>
      </c>
      <c r="F11" s="9" t="inlineStr">
        <is>
          <t>اردیبهشت</t>
        </is>
      </c>
      <c r="G11" s="10" t="n">
        <v>46170</v>
      </c>
      <c r="H11" s="9" t="inlineStr">
        <is>
          <t>1405/03/07</t>
        </is>
      </c>
      <c r="I11" s="9" t="n">
        <v>5</v>
      </c>
      <c r="J11" s="10">
        <f>IF(G11="","",G11-I11)</f>
        <v/>
      </c>
      <c r="K11" s="9" t="inlineStr">
        <is>
          <t>بالا</t>
        </is>
      </c>
      <c r="L11" s="9" t="inlineStr">
        <is>
          <t>باز</t>
        </is>
      </c>
      <c r="M11" s="9">
        <f>IF(D11="","",IF(L11="انجام شده","انجام شده",IF(L11="لغو شده","لغو شده",IF(G11&lt;TODAY(),"عقب‌افتاده",IF(G11=TODAY(),"امروز",IF(G11&lt;=TODAY()+7,"تا ۷ روز",IF(G11&lt;=TODAY()+15,"تا ۱۵ روز","آینده")))))))</f>
        <v/>
      </c>
      <c r="N11" s="9" t="inlineStr"/>
      <c r="O11" s="9" t="n">
        <v>0</v>
      </c>
      <c r="P11" s="10" t="n"/>
      <c r="Q11" s="9" t="inlineStr"/>
      <c r="R11" s="9" t="inlineStr">
        <is>
          <t>پیش‌فرض 1405</t>
        </is>
      </c>
      <c r="S11" s="9" t="inlineStr">
        <is>
          <t>T102</t>
        </is>
      </c>
      <c r="T11" s="9" t="inlineStr">
        <is>
          <t>بله</t>
        </is>
      </c>
    </row>
    <row r="12">
      <c r="A12" s="9" t="inlineStr">
        <is>
          <t>1405-0011</t>
        </is>
      </c>
      <c r="B12" s="9" t="inlineStr">
        <is>
          <t>موسسه شهر کتاب مرکزی</t>
        </is>
      </c>
      <c r="C12" s="9" t="inlineStr">
        <is>
          <t>پایان ماه</t>
        </is>
      </c>
      <c r="D12" s="9" t="inlineStr">
        <is>
          <t>بستن حساب‌های ماه اردیبهشت و کنترل مانده‌ها</t>
        </is>
      </c>
      <c r="E12" s="9" t="inlineStr">
        <is>
          <t>ماهانه</t>
        </is>
      </c>
      <c r="F12" s="9" t="inlineStr">
        <is>
          <t>اردیبهشت</t>
        </is>
      </c>
      <c r="G12" s="10" t="n">
        <v>46173</v>
      </c>
      <c r="H12" s="9" t="inlineStr">
        <is>
          <t>1405/03/10</t>
        </is>
      </c>
      <c r="I12" s="9" t="n">
        <v>7</v>
      </c>
      <c r="J12" s="10">
        <f>IF(G12="","",G12-I12)</f>
        <v/>
      </c>
      <c r="K12" s="9" t="inlineStr">
        <is>
          <t>بالا</t>
        </is>
      </c>
      <c r="L12" s="9" t="inlineStr">
        <is>
          <t>باز</t>
        </is>
      </c>
      <c r="M12" s="9">
        <f>IF(D12="","",IF(L12="انجام شده","انجام شده",IF(L12="لغو شده","لغو شده",IF(G12&lt;TODAY(),"عقب‌افتاده",IF(G12=TODAY(),"امروز",IF(G12&lt;=TODAY()+7,"تا ۷ روز",IF(G12&lt;=TODAY()+15,"تا ۱۵ روز","آینده")))))))</f>
        <v/>
      </c>
      <c r="N12" s="9" t="inlineStr"/>
      <c r="O12" s="9" t="n">
        <v>0</v>
      </c>
      <c r="P12" s="10" t="n"/>
      <c r="Q12" s="9" t="inlineStr"/>
      <c r="R12" s="9" t="inlineStr">
        <is>
          <t>پیش‌فرض 1405</t>
        </is>
      </c>
      <c r="S12" s="9" t="inlineStr">
        <is>
          <t>T103</t>
        </is>
      </c>
      <c r="T12" s="9" t="inlineStr">
        <is>
          <t>بله</t>
        </is>
      </c>
    </row>
    <row r="13">
      <c r="A13" s="9" t="inlineStr">
        <is>
          <t>1405-0012</t>
        </is>
      </c>
      <c r="B13" s="9" t="inlineStr">
        <is>
          <t>موسسه شهر کتاب مرکزی</t>
        </is>
      </c>
      <c r="C13" s="9" t="inlineStr">
        <is>
          <t>گزارش</t>
        </is>
      </c>
      <c r="D13" s="9" t="inlineStr">
        <is>
          <t>تهیه گزارش مدیریت ماه اردیبهشت</t>
        </is>
      </c>
      <c r="E13" s="9" t="inlineStr">
        <is>
          <t>ماهانه</t>
        </is>
      </c>
      <c r="F13" s="9" t="inlineStr">
        <is>
          <t>اردیبهشت</t>
        </is>
      </c>
      <c r="G13" s="10" t="n">
        <v>46173</v>
      </c>
      <c r="H13" s="9" t="inlineStr">
        <is>
          <t>1405/03/10</t>
        </is>
      </c>
      <c r="I13" s="9" t="n">
        <v>5</v>
      </c>
      <c r="J13" s="10">
        <f>IF(G13="","",G13-I13)</f>
        <v/>
      </c>
      <c r="K13" s="9" t="inlineStr">
        <is>
          <t>متوسط</t>
        </is>
      </c>
      <c r="L13" s="9" t="inlineStr">
        <is>
          <t>باز</t>
        </is>
      </c>
      <c r="M13" s="9">
        <f>IF(D13="","",IF(L13="انجام شده","انجام شده",IF(L13="لغو شده","لغو شده",IF(G13&lt;TODAY(),"عقب‌افتاده",IF(G13=TODAY(),"امروز",IF(G13&lt;=TODAY()+7,"تا ۷ روز",IF(G13&lt;=TODAY()+15,"تا ۱۵ روز","آینده")))))))</f>
        <v/>
      </c>
      <c r="N13" s="9" t="inlineStr"/>
      <c r="O13" s="9" t="n">
        <v>0</v>
      </c>
      <c r="P13" s="10" t="n"/>
      <c r="Q13" s="9" t="inlineStr"/>
      <c r="R13" s="9" t="inlineStr">
        <is>
          <t>پیش‌فرض 1405</t>
        </is>
      </c>
      <c r="S13" s="9" t="inlineStr">
        <is>
          <t>T104</t>
        </is>
      </c>
      <c r="T13" s="9" t="inlineStr">
        <is>
          <t>بله</t>
        </is>
      </c>
    </row>
    <row r="14">
      <c r="A14" s="9" t="inlineStr">
        <is>
          <t>1405-0013</t>
        </is>
      </c>
      <c r="B14" s="9" t="inlineStr">
        <is>
          <t>موسسه شهر کتاب مرکزی</t>
        </is>
      </c>
      <c r="C14" s="9" t="inlineStr">
        <is>
          <t>حقوق و دستمزد</t>
        </is>
      </c>
      <c r="D14" s="9" t="inlineStr">
        <is>
          <t>محاسبه حقوق و دستمزد ماه اردیبهشت</t>
        </is>
      </c>
      <c r="E14" s="9" t="inlineStr">
        <is>
          <t>ماهانه</t>
        </is>
      </c>
      <c r="F14" s="9" t="inlineStr">
        <is>
          <t>اردیبهشت</t>
        </is>
      </c>
      <c r="G14" s="10" t="n">
        <v>46160</v>
      </c>
      <c r="H14" s="9" t="inlineStr">
        <is>
          <t>1405/02/28</t>
        </is>
      </c>
      <c r="I14" s="9" t="n">
        <v>5</v>
      </c>
      <c r="J14" s="10">
        <f>IF(G14="","",G14-I14)</f>
        <v/>
      </c>
      <c r="K14" s="9" t="inlineStr">
        <is>
          <t>بالا</t>
        </is>
      </c>
      <c r="L14" s="9" t="inlineStr">
        <is>
          <t>باز</t>
        </is>
      </c>
      <c r="M14" s="9">
        <f>IF(D14="","",IF(L14="انجام شده","انجام شده",IF(L14="لغو شده","لغو شده",IF(G14&lt;TODAY(),"عقب‌افتاده",IF(G14=TODAY(),"امروز",IF(G14&lt;=TODAY()+7,"تا ۷ روز",IF(G14&lt;=TODAY()+15,"تا ۱۵ روز","آینده")))))))</f>
        <v/>
      </c>
      <c r="N14" s="9" t="inlineStr"/>
      <c r="O14" s="9" t="n">
        <v>0</v>
      </c>
      <c r="P14" s="10" t="n"/>
      <c r="Q14" s="9" t="inlineStr"/>
      <c r="R14" s="9" t="inlineStr">
        <is>
          <t>پیش‌فرض 1405</t>
        </is>
      </c>
      <c r="S14" s="9" t="inlineStr">
        <is>
          <t>T105</t>
        </is>
      </c>
      <c r="T14" s="9" t="inlineStr">
        <is>
          <t>بله</t>
        </is>
      </c>
    </row>
    <row r="15">
      <c r="A15" s="9" t="inlineStr">
        <is>
          <t>1405-0014</t>
        </is>
      </c>
      <c r="B15" s="9" t="inlineStr">
        <is>
          <t>موسسه شهر کتاب مرکزی</t>
        </is>
      </c>
      <c r="C15" s="9" t="inlineStr">
        <is>
          <t>حقوق و دستمزد</t>
        </is>
      </c>
      <c r="D15" s="9" t="inlineStr">
        <is>
          <t>ارسال/پرداخت لیست بیمه ماه اردیبهشت</t>
        </is>
      </c>
      <c r="E15" s="9" t="inlineStr">
        <is>
          <t>ماهانه</t>
        </is>
      </c>
      <c r="F15" s="9" t="inlineStr">
        <is>
          <t>اردیبهشت</t>
        </is>
      </c>
      <c r="G15" s="10" t="n">
        <v>46194</v>
      </c>
      <c r="H15" s="9" t="inlineStr">
        <is>
          <t>1405/03/31</t>
        </is>
      </c>
      <c r="I15" s="9" t="n">
        <v>7</v>
      </c>
      <c r="J15" s="10">
        <f>IF(G15="","",G15-I15)</f>
        <v/>
      </c>
      <c r="K15" s="9" t="inlineStr">
        <is>
          <t>خیلی بالا</t>
        </is>
      </c>
      <c r="L15" s="9" t="inlineStr">
        <is>
          <t>باز</t>
        </is>
      </c>
      <c r="M15" s="9">
        <f>IF(D15="","",IF(L15="انجام شده","انجام شده",IF(L15="لغو شده","لغو شده",IF(G15&lt;TODAY(),"عقب‌افتاده",IF(G15=TODAY(),"امروز",IF(G15&lt;=TODAY()+7,"تا ۷ روز",IF(G15&lt;=TODAY()+15,"تا ۱۵ روز","آینده")))))))</f>
        <v/>
      </c>
      <c r="N15" s="9" t="inlineStr"/>
      <c r="O15" s="9" t="n">
        <v>0</v>
      </c>
      <c r="P15" s="10" t="n"/>
      <c r="Q15" s="9" t="inlineStr"/>
      <c r="R15" s="9" t="inlineStr">
        <is>
          <t>پیش‌فرض 1405</t>
        </is>
      </c>
      <c r="S15" s="9" t="inlineStr">
        <is>
          <t>T106</t>
        </is>
      </c>
      <c r="T15" s="9" t="inlineStr">
        <is>
          <t>بله</t>
        </is>
      </c>
    </row>
    <row r="16">
      <c r="A16" s="9" t="inlineStr">
        <is>
          <t>1405-0015</t>
        </is>
      </c>
      <c r="B16" s="9" t="inlineStr">
        <is>
          <t>موسسه شهر کتاب مرکزی</t>
        </is>
      </c>
      <c r="C16" s="9" t="inlineStr">
        <is>
          <t>حقوق و دستمزد</t>
        </is>
      </c>
      <c r="D16" s="9" t="inlineStr">
        <is>
          <t>ارسال/پرداخت مالیات حقوق ماه اردیبهشت</t>
        </is>
      </c>
      <c r="E16" s="9" t="inlineStr">
        <is>
          <t>ماهانه</t>
        </is>
      </c>
      <c r="F16" s="9" t="inlineStr">
        <is>
          <t>اردیبهشت</t>
        </is>
      </c>
      <c r="G16" s="10" t="n">
        <v>46194</v>
      </c>
      <c r="H16" s="9" t="inlineStr">
        <is>
          <t>1405/03/31</t>
        </is>
      </c>
      <c r="I16" s="9" t="n">
        <v>7</v>
      </c>
      <c r="J16" s="10">
        <f>IF(G16="","",G16-I16)</f>
        <v/>
      </c>
      <c r="K16" s="9" t="inlineStr">
        <is>
          <t>خیلی بالا</t>
        </is>
      </c>
      <c r="L16" s="9" t="inlineStr">
        <is>
          <t>باز</t>
        </is>
      </c>
      <c r="M16" s="9">
        <f>IF(D16="","",IF(L16="انجام شده","انجام شده",IF(L16="لغو شده","لغو شده",IF(G16&lt;TODAY(),"عقب‌افتاده",IF(G16=TODAY(),"امروز",IF(G16&lt;=TODAY()+7,"تا ۷ روز",IF(G16&lt;=TODAY()+15,"تا ۱۵ روز","آینده")))))))</f>
        <v/>
      </c>
      <c r="N16" s="9" t="inlineStr"/>
      <c r="O16" s="9" t="n">
        <v>0</v>
      </c>
      <c r="P16" s="10" t="n"/>
      <c r="Q16" s="9" t="inlineStr"/>
      <c r="R16" s="9" t="inlineStr">
        <is>
          <t>پیش‌فرض 1405</t>
        </is>
      </c>
      <c r="S16" s="9" t="inlineStr">
        <is>
          <t>T107</t>
        </is>
      </c>
      <c r="T16" s="9" t="inlineStr">
        <is>
          <t>بله</t>
        </is>
      </c>
    </row>
    <row r="17">
      <c r="A17" s="9" t="inlineStr">
        <is>
          <t>1405-0016</t>
        </is>
      </c>
      <c r="B17" s="9" t="inlineStr">
        <is>
          <t>موسسه شهر کتاب مرکزی</t>
        </is>
      </c>
      <c r="C17" s="9" t="inlineStr">
        <is>
          <t>بایگانی</t>
        </is>
      </c>
      <c r="D17" s="9" t="inlineStr">
        <is>
          <t>بایگانی مدارک و اسناد ماه اردیبهشت</t>
        </is>
      </c>
      <c r="E17" s="9" t="inlineStr">
        <is>
          <t>ماهانه</t>
        </is>
      </c>
      <c r="F17" s="9" t="inlineStr">
        <is>
          <t>اردیبهشت</t>
        </is>
      </c>
      <c r="G17" s="10" t="n">
        <v>46178</v>
      </c>
      <c r="H17" s="9" t="inlineStr">
        <is>
          <t>1405/03/15</t>
        </is>
      </c>
      <c r="I17" s="9" t="n">
        <v>3</v>
      </c>
      <c r="J17" s="10">
        <f>IF(G17="","",G17-I17)</f>
        <v/>
      </c>
      <c r="K17" s="9" t="inlineStr">
        <is>
          <t>متوسط</t>
        </is>
      </c>
      <c r="L17" s="9" t="inlineStr">
        <is>
          <t>باز</t>
        </is>
      </c>
      <c r="M17" s="9">
        <f>IF(D17="","",IF(L17="انجام شده","انجام شده",IF(L17="لغو شده","لغو شده",IF(G17&lt;TODAY(),"عقب‌افتاده",IF(G17=TODAY(),"امروز",IF(G17&lt;=TODAY()+7,"تا ۷ روز",IF(G17&lt;=TODAY()+15,"تا ۱۵ روز","آینده")))))))</f>
        <v/>
      </c>
      <c r="N17" s="9" t="inlineStr"/>
      <c r="O17" s="9" t="n">
        <v>0</v>
      </c>
      <c r="P17" s="10" t="n"/>
      <c r="Q17" s="9" t="inlineStr"/>
      <c r="R17" s="9" t="inlineStr">
        <is>
          <t>پیش‌فرض 1405</t>
        </is>
      </c>
      <c r="S17" s="9" t="inlineStr">
        <is>
          <t>T108</t>
        </is>
      </c>
      <c r="T17" s="9" t="inlineStr">
        <is>
          <t>بله</t>
        </is>
      </c>
    </row>
    <row r="18">
      <c r="A18" s="9" t="inlineStr">
        <is>
          <t>1405-0017</t>
        </is>
      </c>
      <c r="B18" s="9" t="inlineStr">
        <is>
          <t>موسسه شهر کتاب مرکزی</t>
        </is>
      </c>
      <c r="C18" s="9" t="inlineStr">
        <is>
          <t>پایان ماه</t>
        </is>
      </c>
      <c r="D18" s="9" t="inlineStr">
        <is>
          <t>مغایرت‌گیری بانکی ماه خرداد</t>
        </is>
      </c>
      <c r="E18" s="9" t="inlineStr">
        <is>
          <t>ماهانه</t>
        </is>
      </c>
      <c r="F18" s="9" t="inlineStr">
        <is>
          <t>خرداد</t>
        </is>
      </c>
      <c r="G18" s="10" t="n">
        <v>46199</v>
      </c>
      <c r="H18" s="9" t="inlineStr">
        <is>
          <t>1405/04/05</t>
        </is>
      </c>
      <c r="I18" s="9" t="n">
        <v>5</v>
      </c>
      <c r="J18" s="10">
        <f>IF(G18="","",G18-I18)</f>
        <v/>
      </c>
      <c r="K18" s="9" t="inlineStr">
        <is>
          <t>بالا</t>
        </is>
      </c>
      <c r="L18" s="9" t="inlineStr">
        <is>
          <t>باز</t>
        </is>
      </c>
      <c r="M18" s="9">
        <f>IF(D18="","",IF(L18="انجام شده","انجام شده",IF(L18="لغو شده","لغو شده",IF(G18&lt;TODAY(),"عقب‌افتاده",IF(G18=TODAY(),"امروز",IF(G18&lt;=TODAY()+7,"تا ۷ روز",IF(G18&lt;=TODAY()+15,"تا ۱۵ روز","آینده")))))))</f>
        <v/>
      </c>
      <c r="N18" s="9" t="inlineStr"/>
      <c r="O18" s="9" t="n">
        <v>0</v>
      </c>
      <c r="P18" s="10" t="n"/>
      <c r="Q18" s="9" t="inlineStr"/>
      <c r="R18" s="9" t="inlineStr">
        <is>
          <t>پیش‌فرض 1405</t>
        </is>
      </c>
      <c r="S18" s="9" t="inlineStr">
        <is>
          <t>T101</t>
        </is>
      </c>
      <c r="T18" s="9" t="inlineStr">
        <is>
          <t>بله</t>
        </is>
      </c>
    </row>
    <row r="19">
      <c r="A19" s="9" t="inlineStr">
        <is>
          <t>1405-0018</t>
        </is>
      </c>
      <c r="B19" s="9" t="inlineStr">
        <is>
          <t>موسسه شهر کتاب مرکزی</t>
        </is>
      </c>
      <c r="C19" s="9" t="inlineStr">
        <is>
          <t>پایان ماه</t>
        </is>
      </c>
      <c r="D19" s="9" t="inlineStr">
        <is>
          <t>کنترل نهایی اسناد ماه خرداد</t>
        </is>
      </c>
      <c r="E19" s="9" t="inlineStr">
        <is>
          <t>ماهانه</t>
        </is>
      </c>
      <c r="F19" s="9" t="inlineStr">
        <is>
          <t>خرداد</t>
        </is>
      </c>
      <c r="G19" s="10" t="n">
        <v>46201</v>
      </c>
      <c r="H19" s="9" t="inlineStr">
        <is>
          <t>1405/04/07</t>
        </is>
      </c>
      <c r="I19" s="9" t="n">
        <v>5</v>
      </c>
      <c r="J19" s="10">
        <f>IF(G19="","",G19-I19)</f>
        <v/>
      </c>
      <c r="K19" s="9" t="inlineStr">
        <is>
          <t>بالا</t>
        </is>
      </c>
      <c r="L19" s="9" t="inlineStr">
        <is>
          <t>باز</t>
        </is>
      </c>
      <c r="M19" s="9">
        <f>IF(D19="","",IF(L19="انجام شده","انجام شده",IF(L19="لغو شده","لغو شده",IF(G19&lt;TODAY(),"عقب‌افتاده",IF(G19=TODAY(),"امروز",IF(G19&lt;=TODAY()+7,"تا ۷ روز",IF(G19&lt;=TODAY()+15,"تا ۱۵ روز","آینده")))))))</f>
        <v/>
      </c>
      <c r="N19" s="9" t="inlineStr"/>
      <c r="O19" s="9" t="n">
        <v>0</v>
      </c>
      <c r="P19" s="10" t="n"/>
      <c r="Q19" s="9" t="inlineStr"/>
      <c r="R19" s="9" t="inlineStr">
        <is>
          <t>پیش‌فرض 1405</t>
        </is>
      </c>
      <c r="S19" s="9" t="inlineStr">
        <is>
          <t>T102</t>
        </is>
      </c>
      <c r="T19" s="9" t="inlineStr">
        <is>
          <t>بله</t>
        </is>
      </c>
    </row>
    <row r="20">
      <c r="A20" s="9" t="inlineStr">
        <is>
          <t>1405-0019</t>
        </is>
      </c>
      <c r="B20" s="9" t="inlineStr">
        <is>
          <t>موسسه شهر کتاب مرکزی</t>
        </is>
      </c>
      <c r="C20" s="9" t="inlineStr">
        <is>
          <t>پایان ماه</t>
        </is>
      </c>
      <c r="D20" s="9" t="inlineStr">
        <is>
          <t>بستن حساب‌های ماه خرداد و کنترل مانده‌ها</t>
        </is>
      </c>
      <c r="E20" s="9" t="inlineStr">
        <is>
          <t>ماهانه</t>
        </is>
      </c>
      <c r="F20" s="9" t="inlineStr">
        <is>
          <t>خرداد</t>
        </is>
      </c>
      <c r="G20" s="10" t="n">
        <v>46204</v>
      </c>
      <c r="H20" s="9" t="inlineStr">
        <is>
          <t>1405/04/10</t>
        </is>
      </c>
      <c r="I20" s="9" t="n">
        <v>7</v>
      </c>
      <c r="J20" s="10">
        <f>IF(G20="","",G20-I20)</f>
        <v/>
      </c>
      <c r="K20" s="9" t="inlineStr">
        <is>
          <t>بالا</t>
        </is>
      </c>
      <c r="L20" s="9" t="inlineStr">
        <is>
          <t>باز</t>
        </is>
      </c>
      <c r="M20" s="9">
        <f>IF(D20="","",IF(L20="انجام شده","انجام شده",IF(L20="لغو شده","لغو شده",IF(G20&lt;TODAY(),"عقب‌افتاده",IF(G20=TODAY(),"امروز",IF(G20&lt;=TODAY()+7,"تا ۷ روز",IF(G20&lt;=TODAY()+15,"تا ۱۵ روز","آینده")))))))</f>
        <v/>
      </c>
      <c r="N20" s="9" t="inlineStr"/>
      <c r="O20" s="9" t="n">
        <v>0</v>
      </c>
      <c r="P20" s="10" t="n"/>
      <c r="Q20" s="9" t="inlineStr"/>
      <c r="R20" s="9" t="inlineStr">
        <is>
          <t>پیش‌فرض 1405</t>
        </is>
      </c>
      <c r="S20" s="9" t="inlineStr">
        <is>
          <t>T103</t>
        </is>
      </c>
      <c r="T20" s="9" t="inlineStr">
        <is>
          <t>بله</t>
        </is>
      </c>
    </row>
    <row r="21">
      <c r="A21" s="9" t="inlineStr">
        <is>
          <t>1405-0020</t>
        </is>
      </c>
      <c r="B21" s="9" t="inlineStr">
        <is>
          <t>موسسه شهر کتاب مرکزی</t>
        </is>
      </c>
      <c r="C21" s="9" t="inlineStr">
        <is>
          <t>گزارش</t>
        </is>
      </c>
      <c r="D21" s="9" t="inlineStr">
        <is>
          <t>تهیه گزارش مدیریت ماه خرداد</t>
        </is>
      </c>
      <c r="E21" s="9" t="inlineStr">
        <is>
          <t>ماهانه</t>
        </is>
      </c>
      <c r="F21" s="9" t="inlineStr">
        <is>
          <t>خرداد</t>
        </is>
      </c>
      <c r="G21" s="10" t="n">
        <v>46204</v>
      </c>
      <c r="H21" s="9" t="inlineStr">
        <is>
          <t>1405/04/10</t>
        </is>
      </c>
      <c r="I21" s="9" t="n">
        <v>5</v>
      </c>
      <c r="J21" s="10">
        <f>IF(G21="","",G21-I21)</f>
        <v/>
      </c>
      <c r="K21" s="9" t="inlineStr">
        <is>
          <t>متوسط</t>
        </is>
      </c>
      <c r="L21" s="9" t="inlineStr">
        <is>
          <t>باز</t>
        </is>
      </c>
      <c r="M21" s="9">
        <f>IF(D21="","",IF(L21="انجام شده","انجام شده",IF(L21="لغو شده","لغو شده",IF(G21&lt;TODAY(),"عقب‌افتاده",IF(G21=TODAY(),"امروز",IF(G21&lt;=TODAY()+7,"تا ۷ روز",IF(G21&lt;=TODAY()+15,"تا ۱۵ روز","آینده")))))))</f>
        <v/>
      </c>
      <c r="N21" s="9" t="inlineStr"/>
      <c r="O21" s="9" t="n">
        <v>0</v>
      </c>
      <c r="P21" s="10" t="n"/>
      <c r="Q21" s="9" t="inlineStr"/>
      <c r="R21" s="9" t="inlineStr">
        <is>
          <t>پیش‌فرض 1405</t>
        </is>
      </c>
      <c r="S21" s="9" t="inlineStr">
        <is>
          <t>T104</t>
        </is>
      </c>
      <c r="T21" s="9" t="inlineStr">
        <is>
          <t>بله</t>
        </is>
      </c>
    </row>
    <row r="22">
      <c r="A22" s="9" t="inlineStr">
        <is>
          <t>1405-0021</t>
        </is>
      </c>
      <c r="B22" s="9" t="inlineStr">
        <is>
          <t>موسسه شهر کتاب مرکزی</t>
        </is>
      </c>
      <c r="C22" s="9" t="inlineStr">
        <is>
          <t>حقوق و دستمزد</t>
        </is>
      </c>
      <c r="D22" s="9" t="inlineStr">
        <is>
          <t>محاسبه حقوق و دستمزد ماه خرداد</t>
        </is>
      </c>
      <c r="E22" s="9" t="inlineStr">
        <is>
          <t>ماهانه</t>
        </is>
      </c>
      <c r="F22" s="9" t="inlineStr">
        <is>
          <t>خرداد</t>
        </is>
      </c>
      <c r="G22" s="10" t="n">
        <v>46191</v>
      </c>
      <c r="H22" s="9" t="inlineStr">
        <is>
          <t>1405/03/28</t>
        </is>
      </c>
      <c r="I22" s="9" t="n">
        <v>5</v>
      </c>
      <c r="J22" s="10">
        <f>IF(G22="","",G22-I22)</f>
        <v/>
      </c>
      <c r="K22" s="9" t="inlineStr">
        <is>
          <t>بالا</t>
        </is>
      </c>
      <c r="L22" s="9" t="inlineStr">
        <is>
          <t>باز</t>
        </is>
      </c>
      <c r="M22" s="9">
        <f>IF(D22="","",IF(L22="انجام شده","انجام شده",IF(L22="لغو شده","لغو شده",IF(G22&lt;TODAY(),"عقب‌افتاده",IF(G22=TODAY(),"امروز",IF(G22&lt;=TODAY()+7,"تا ۷ روز",IF(G22&lt;=TODAY()+15,"تا ۱۵ روز","آینده")))))))</f>
        <v/>
      </c>
      <c r="N22" s="9" t="inlineStr"/>
      <c r="O22" s="9" t="n">
        <v>0</v>
      </c>
      <c r="P22" s="10" t="n"/>
      <c r="Q22" s="9" t="inlineStr"/>
      <c r="R22" s="9" t="inlineStr">
        <is>
          <t>پیش‌فرض 1405</t>
        </is>
      </c>
      <c r="S22" s="9" t="inlineStr">
        <is>
          <t>T105</t>
        </is>
      </c>
      <c r="T22" s="9" t="inlineStr">
        <is>
          <t>بله</t>
        </is>
      </c>
    </row>
    <row r="23">
      <c r="A23" s="9" t="inlineStr">
        <is>
          <t>1405-0022</t>
        </is>
      </c>
      <c r="B23" s="9" t="inlineStr">
        <is>
          <t>موسسه شهر کتاب مرکزی</t>
        </is>
      </c>
      <c r="C23" s="9" t="inlineStr">
        <is>
          <t>حقوق و دستمزد</t>
        </is>
      </c>
      <c r="D23" s="9" t="inlineStr">
        <is>
          <t>ارسال/پرداخت لیست بیمه ماه خرداد</t>
        </is>
      </c>
      <c r="E23" s="9" t="inlineStr">
        <is>
          <t>ماهانه</t>
        </is>
      </c>
      <c r="F23" s="9" t="inlineStr">
        <is>
          <t>خرداد</t>
        </is>
      </c>
      <c r="G23" s="10" t="n">
        <v>46225</v>
      </c>
      <c r="H23" s="9" t="inlineStr">
        <is>
          <t>1405/04/31</t>
        </is>
      </c>
      <c r="I23" s="9" t="n">
        <v>7</v>
      </c>
      <c r="J23" s="10">
        <f>IF(G23="","",G23-I23)</f>
        <v/>
      </c>
      <c r="K23" s="9" t="inlineStr">
        <is>
          <t>خیلی بالا</t>
        </is>
      </c>
      <c r="L23" s="9" t="inlineStr">
        <is>
          <t>باز</t>
        </is>
      </c>
      <c r="M23" s="9">
        <f>IF(D23="","",IF(L23="انجام شده","انجام شده",IF(L23="لغو شده","لغو شده",IF(G23&lt;TODAY(),"عقب‌افتاده",IF(G23=TODAY(),"امروز",IF(G23&lt;=TODAY()+7,"تا ۷ روز",IF(G23&lt;=TODAY()+15,"تا ۱۵ روز","آینده")))))))</f>
        <v/>
      </c>
      <c r="N23" s="9" t="inlineStr"/>
      <c r="O23" s="9" t="n">
        <v>0</v>
      </c>
      <c r="P23" s="10" t="n"/>
      <c r="Q23" s="9" t="inlineStr"/>
      <c r="R23" s="9" t="inlineStr">
        <is>
          <t>پیش‌فرض 1405</t>
        </is>
      </c>
      <c r="S23" s="9" t="inlineStr">
        <is>
          <t>T106</t>
        </is>
      </c>
      <c r="T23" s="9" t="inlineStr">
        <is>
          <t>بله</t>
        </is>
      </c>
    </row>
    <row r="24">
      <c r="A24" s="9" t="inlineStr">
        <is>
          <t>1405-0023</t>
        </is>
      </c>
      <c r="B24" s="9" t="inlineStr">
        <is>
          <t>موسسه شهر کتاب مرکزی</t>
        </is>
      </c>
      <c r="C24" s="9" t="inlineStr">
        <is>
          <t>حقوق و دستمزد</t>
        </is>
      </c>
      <c r="D24" s="9" t="inlineStr">
        <is>
          <t>ارسال/پرداخت مالیات حقوق ماه خرداد</t>
        </is>
      </c>
      <c r="E24" s="9" t="inlineStr">
        <is>
          <t>ماهانه</t>
        </is>
      </c>
      <c r="F24" s="9" t="inlineStr">
        <is>
          <t>خرداد</t>
        </is>
      </c>
      <c r="G24" s="10" t="n">
        <v>46225</v>
      </c>
      <c r="H24" s="9" t="inlineStr">
        <is>
          <t>1405/04/31</t>
        </is>
      </c>
      <c r="I24" s="9" t="n">
        <v>7</v>
      </c>
      <c r="J24" s="10">
        <f>IF(G24="","",G24-I24)</f>
        <v/>
      </c>
      <c r="K24" s="9" t="inlineStr">
        <is>
          <t>خیلی بالا</t>
        </is>
      </c>
      <c r="L24" s="9" t="inlineStr">
        <is>
          <t>باز</t>
        </is>
      </c>
      <c r="M24" s="9">
        <f>IF(D24="","",IF(L24="انجام شده","انجام شده",IF(L24="لغو شده","لغو شده",IF(G24&lt;TODAY(),"عقب‌افتاده",IF(G24=TODAY(),"امروز",IF(G24&lt;=TODAY()+7,"تا ۷ روز",IF(G24&lt;=TODAY()+15,"تا ۱۵ روز","آینده")))))))</f>
        <v/>
      </c>
      <c r="N24" s="9" t="inlineStr"/>
      <c r="O24" s="9" t="n">
        <v>0</v>
      </c>
      <c r="P24" s="10" t="n"/>
      <c r="Q24" s="9" t="inlineStr"/>
      <c r="R24" s="9" t="inlineStr">
        <is>
          <t>پیش‌فرض 1405</t>
        </is>
      </c>
      <c r="S24" s="9" t="inlineStr">
        <is>
          <t>T107</t>
        </is>
      </c>
      <c r="T24" s="9" t="inlineStr">
        <is>
          <t>بله</t>
        </is>
      </c>
    </row>
    <row r="25">
      <c r="A25" s="9" t="inlineStr">
        <is>
          <t>1405-0024</t>
        </is>
      </c>
      <c r="B25" s="9" t="inlineStr">
        <is>
          <t>موسسه شهر کتاب مرکزی</t>
        </is>
      </c>
      <c r="C25" s="9" t="inlineStr">
        <is>
          <t>بایگانی</t>
        </is>
      </c>
      <c r="D25" s="9" t="inlineStr">
        <is>
          <t>بایگانی مدارک و اسناد ماه خرداد</t>
        </is>
      </c>
      <c r="E25" s="9" t="inlineStr">
        <is>
          <t>ماهانه</t>
        </is>
      </c>
      <c r="F25" s="9" t="inlineStr">
        <is>
          <t>خرداد</t>
        </is>
      </c>
      <c r="G25" s="10" t="n">
        <v>46209</v>
      </c>
      <c r="H25" s="9" t="inlineStr">
        <is>
          <t>1405/04/15</t>
        </is>
      </c>
      <c r="I25" s="9" t="n">
        <v>3</v>
      </c>
      <c r="J25" s="10">
        <f>IF(G25="","",G25-I25)</f>
        <v/>
      </c>
      <c r="K25" s="9" t="inlineStr">
        <is>
          <t>متوسط</t>
        </is>
      </c>
      <c r="L25" s="9" t="inlineStr">
        <is>
          <t>باز</t>
        </is>
      </c>
      <c r="M25" s="9">
        <f>IF(D25="","",IF(L25="انجام شده","انجام شده",IF(L25="لغو شده","لغو شده",IF(G25&lt;TODAY(),"عقب‌افتاده",IF(G25=TODAY(),"امروز",IF(G25&lt;=TODAY()+7,"تا ۷ روز",IF(G25&lt;=TODAY()+15,"تا ۱۵ روز","آینده")))))))</f>
        <v/>
      </c>
      <c r="N25" s="9" t="inlineStr"/>
      <c r="O25" s="9" t="n">
        <v>0</v>
      </c>
      <c r="P25" s="10" t="n"/>
      <c r="Q25" s="9" t="inlineStr"/>
      <c r="R25" s="9" t="inlineStr">
        <is>
          <t>پیش‌فرض 1405</t>
        </is>
      </c>
      <c r="S25" s="9" t="inlineStr">
        <is>
          <t>T108</t>
        </is>
      </c>
      <c r="T25" s="9" t="inlineStr">
        <is>
          <t>بله</t>
        </is>
      </c>
    </row>
    <row r="26">
      <c r="A26" s="9" t="inlineStr">
        <is>
          <t>1405-0025</t>
        </is>
      </c>
      <c r="B26" s="9" t="inlineStr">
        <is>
          <t>موسسه شهر کتاب مرکزی</t>
        </is>
      </c>
      <c r="C26" s="9" t="inlineStr">
        <is>
          <t>پایان ماه</t>
        </is>
      </c>
      <c r="D26" s="9" t="inlineStr">
        <is>
          <t>مغایرت‌گیری بانکی ماه تیر</t>
        </is>
      </c>
      <c r="E26" s="9" t="inlineStr">
        <is>
          <t>ماهانه</t>
        </is>
      </c>
      <c r="F26" s="9" t="inlineStr">
        <is>
          <t>تیر</t>
        </is>
      </c>
      <c r="G26" s="10" t="n">
        <v>46230</v>
      </c>
      <c r="H26" s="9" t="inlineStr">
        <is>
          <t>1405/05/05</t>
        </is>
      </c>
      <c r="I26" s="9" t="n">
        <v>5</v>
      </c>
      <c r="J26" s="10">
        <f>IF(G26="","",G26-I26)</f>
        <v/>
      </c>
      <c r="K26" s="9" t="inlineStr">
        <is>
          <t>بالا</t>
        </is>
      </c>
      <c r="L26" s="9" t="inlineStr">
        <is>
          <t>باز</t>
        </is>
      </c>
      <c r="M26" s="9">
        <f>IF(D26="","",IF(L26="انجام شده","انجام شده",IF(L26="لغو شده","لغو شده",IF(G26&lt;TODAY(),"عقب‌افتاده",IF(G26=TODAY(),"امروز",IF(G26&lt;=TODAY()+7,"تا ۷ روز",IF(G26&lt;=TODAY()+15,"تا ۱۵ روز","آینده")))))))</f>
        <v/>
      </c>
      <c r="N26" s="9" t="inlineStr"/>
      <c r="O26" s="9" t="n">
        <v>0</v>
      </c>
      <c r="P26" s="10" t="n"/>
      <c r="Q26" s="9" t="inlineStr"/>
      <c r="R26" s="9" t="inlineStr">
        <is>
          <t>پیش‌فرض 1405</t>
        </is>
      </c>
      <c r="S26" s="9" t="inlineStr">
        <is>
          <t>T101</t>
        </is>
      </c>
      <c r="T26" s="9" t="inlineStr">
        <is>
          <t>بله</t>
        </is>
      </c>
    </row>
    <row r="27">
      <c r="A27" s="9" t="inlineStr">
        <is>
          <t>1405-0026</t>
        </is>
      </c>
      <c r="B27" s="9" t="inlineStr">
        <is>
          <t>موسسه شهر کتاب مرکزی</t>
        </is>
      </c>
      <c r="C27" s="9" t="inlineStr">
        <is>
          <t>پایان ماه</t>
        </is>
      </c>
      <c r="D27" s="9" t="inlineStr">
        <is>
          <t>کنترل نهایی اسناد ماه تیر</t>
        </is>
      </c>
      <c r="E27" s="9" t="inlineStr">
        <is>
          <t>ماهانه</t>
        </is>
      </c>
      <c r="F27" s="9" t="inlineStr">
        <is>
          <t>تیر</t>
        </is>
      </c>
      <c r="G27" s="10" t="n">
        <v>46232</v>
      </c>
      <c r="H27" s="9" t="inlineStr">
        <is>
          <t>1405/05/07</t>
        </is>
      </c>
      <c r="I27" s="9" t="n">
        <v>5</v>
      </c>
      <c r="J27" s="10">
        <f>IF(G27="","",G27-I27)</f>
        <v/>
      </c>
      <c r="K27" s="9" t="inlineStr">
        <is>
          <t>بالا</t>
        </is>
      </c>
      <c r="L27" s="9" t="inlineStr">
        <is>
          <t>باز</t>
        </is>
      </c>
      <c r="M27" s="9">
        <f>IF(D27="","",IF(L27="انجام شده","انجام شده",IF(L27="لغو شده","لغو شده",IF(G27&lt;TODAY(),"عقب‌افتاده",IF(G27=TODAY(),"امروز",IF(G27&lt;=TODAY()+7,"تا ۷ روز",IF(G27&lt;=TODAY()+15,"تا ۱۵ روز","آینده")))))))</f>
        <v/>
      </c>
      <c r="N27" s="9" t="inlineStr"/>
      <c r="O27" s="9" t="n">
        <v>0</v>
      </c>
      <c r="P27" s="10" t="n"/>
      <c r="Q27" s="9" t="inlineStr"/>
      <c r="R27" s="9" t="inlineStr">
        <is>
          <t>پیش‌فرض 1405</t>
        </is>
      </c>
      <c r="S27" s="9" t="inlineStr">
        <is>
          <t>T102</t>
        </is>
      </c>
      <c r="T27" s="9" t="inlineStr">
        <is>
          <t>بله</t>
        </is>
      </c>
    </row>
    <row r="28">
      <c r="A28" s="9" t="inlineStr">
        <is>
          <t>1405-0027</t>
        </is>
      </c>
      <c r="B28" s="9" t="inlineStr">
        <is>
          <t>موسسه شهر کتاب مرکزی</t>
        </is>
      </c>
      <c r="C28" s="9" t="inlineStr">
        <is>
          <t>پایان ماه</t>
        </is>
      </c>
      <c r="D28" s="9" t="inlineStr">
        <is>
          <t>بستن حساب‌های ماه تیر و کنترل مانده‌ها</t>
        </is>
      </c>
      <c r="E28" s="9" t="inlineStr">
        <is>
          <t>ماهانه</t>
        </is>
      </c>
      <c r="F28" s="9" t="inlineStr">
        <is>
          <t>تیر</t>
        </is>
      </c>
      <c r="G28" s="10" t="n">
        <v>46235</v>
      </c>
      <c r="H28" s="9" t="inlineStr">
        <is>
          <t>1405/05/10</t>
        </is>
      </c>
      <c r="I28" s="9" t="n">
        <v>7</v>
      </c>
      <c r="J28" s="10">
        <f>IF(G28="","",G28-I28)</f>
        <v/>
      </c>
      <c r="K28" s="9" t="inlineStr">
        <is>
          <t>بالا</t>
        </is>
      </c>
      <c r="L28" s="9" t="inlineStr">
        <is>
          <t>باز</t>
        </is>
      </c>
      <c r="M28" s="9">
        <f>IF(D28="","",IF(L28="انجام شده","انجام شده",IF(L28="لغو شده","لغو شده",IF(G28&lt;TODAY(),"عقب‌افتاده",IF(G28=TODAY(),"امروز",IF(G28&lt;=TODAY()+7,"تا ۷ روز",IF(G28&lt;=TODAY()+15,"تا ۱۵ روز","آینده")))))))</f>
        <v/>
      </c>
      <c r="N28" s="9" t="inlineStr"/>
      <c r="O28" s="9" t="n">
        <v>0</v>
      </c>
      <c r="P28" s="10" t="n"/>
      <c r="Q28" s="9" t="inlineStr"/>
      <c r="R28" s="9" t="inlineStr">
        <is>
          <t>پیش‌فرض 1405</t>
        </is>
      </c>
      <c r="S28" s="9" t="inlineStr">
        <is>
          <t>T103</t>
        </is>
      </c>
      <c r="T28" s="9" t="inlineStr">
        <is>
          <t>بله</t>
        </is>
      </c>
    </row>
    <row r="29">
      <c r="A29" s="9" t="inlineStr">
        <is>
          <t>1405-0028</t>
        </is>
      </c>
      <c r="B29" s="9" t="inlineStr">
        <is>
          <t>موسسه شهر کتاب مرکزی</t>
        </is>
      </c>
      <c r="C29" s="9" t="inlineStr">
        <is>
          <t>گزارش</t>
        </is>
      </c>
      <c r="D29" s="9" t="inlineStr">
        <is>
          <t>تهیه گزارش مدیریت ماه تیر</t>
        </is>
      </c>
      <c r="E29" s="9" t="inlineStr">
        <is>
          <t>ماهانه</t>
        </is>
      </c>
      <c r="F29" s="9" t="inlineStr">
        <is>
          <t>تیر</t>
        </is>
      </c>
      <c r="G29" s="10" t="n">
        <v>46235</v>
      </c>
      <c r="H29" s="9" t="inlineStr">
        <is>
          <t>1405/05/10</t>
        </is>
      </c>
      <c r="I29" s="9" t="n">
        <v>5</v>
      </c>
      <c r="J29" s="10">
        <f>IF(G29="","",G29-I29)</f>
        <v/>
      </c>
      <c r="K29" s="9" t="inlineStr">
        <is>
          <t>متوسط</t>
        </is>
      </c>
      <c r="L29" s="9" t="inlineStr">
        <is>
          <t>باز</t>
        </is>
      </c>
      <c r="M29" s="9">
        <f>IF(D29="","",IF(L29="انجام شده","انجام شده",IF(L29="لغو شده","لغو شده",IF(G29&lt;TODAY(),"عقب‌افتاده",IF(G29=TODAY(),"امروز",IF(G29&lt;=TODAY()+7,"تا ۷ روز",IF(G29&lt;=TODAY()+15,"تا ۱۵ روز","آینده")))))))</f>
        <v/>
      </c>
      <c r="N29" s="9" t="inlineStr"/>
      <c r="O29" s="9" t="n">
        <v>0</v>
      </c>
      <c r="P29" s="10" t="n"/>
      <c r="Q29" s="9" t="inlineStr"/>
      <c r="R29" s="9" t="inlineStr">
        <is>
          <t>پیش‌فرض 1405</t>
        </is>
      </c>
      <c r="S29" s="9" t="inlineStr">
        <is>
          <t>T104</t>
        </is>
      </c>
      <c r="T29" s="9" t="inlineStr">
        <is>
          <t>بله</t>
        </is>
      </c>
    </row>
    <row r="30">
      <c r="A30" s="9" t="inlineStr">
        <is>
          <t>1405-0029</t>
        </is>
      </c>
      <c r="B30" s="9" t="inlineStr">
        <is>
          <t>موسسه شهر کتاب مرکزی</t>
        </is>
      </c>
      <c r="C30" s="9" t="inlineStr">
        <is>
          <t>حقوق و دستمزد</t>
        </is>
      </c>
      <c r="D30" s="9" t="inlineStr">
        <is>
          <t>محاسبه حقوق و دستمزد ماه تیر</t>
        </is>
      </c>
      <c r="E30" s="9" t="inlineStr">
        <is>
          <t>ماهانه</t>
        </is>
      </c>
      <c r="F30" s="9" t="inlineStr">
        <is>
          <t>تیر</t>
        </is>
      </c>
      <c r="G30" s="10" t="n">
        <v>46222</v>
      </c>
      <c r="H30" s="9" t="inlineStr">
        <is>
          <t>1405/04/28</t>
        </is>
      </c>
      <c r="I30" s="9" t="n">
        <v>5</v>
      </c>
      <c r="J30" s="10">
        <f>IF(G30="","",G30-I30)</f>
        <v/>
      </c>
      <c r="K30" s="9" t="inlineStr">
        <is>
          <t>بالا</t>
        </is>
      </c>
      <c r="L30" s="9" t="inlineStr">
        <is>
          <t>باز</t>
        </is>
      </c>
      <c r="M30" s="9">
        <f>IF(D30="","",IF(L30="انجام شده","انجام شده",IF(L30="لغو شده","لغو شده",IF(G30&lt;TODAY(),"عقب‌افتاده",IF(G30=TODAY(),"امروز",IF(G30&lt;=TODAY()+7,"تا ۷ روز",IF(G30&lt;=TODAY()+15,"تا ۱۵ روز","آینده")))))))</f>
        <v/>
      </c>
      <c r="N30" s="9" t="inlineStr"/>
      <c r="O30" s="9" t="n">
        <v>0</v>
      </c>
      <c r="P30" s="10" t="n"/>
      <c r="Q30" s="9" t="inlineStr"/>
      <c r="R30" s="9" t="inlineStr">
        <is>
          <t>پیش‌فرض 1405</t>
        </is>
      </c>
      <c r="S30" s="9" t="inlineStr">
        <is>
          <t>T105</t>
        </is>
      </c>
      <c r="T30" s="9" t="inlineStr">
        <is>
          <t>بله</t>
        </is>
      </c>
    </row>
    <row r="31">
      <c r="A31" s="9" t="inlineStr">
        <is>
          <t>1405-0030</t>
        </is>
      </c>
      <c r="B31" s="9" t="inlineStr">
        <is>
          <t>موسسه شهر کتاب مرکزی</t>
        </is>
      </c>
      <c r="C31" s="9" t="inlineStr">
        <is>
          <t>حقوق و دستمزد</t>
        </is>
      </c>
      <c r="D31" s="9" t="inlineStr">
        <is>
          <t>ارسال/پرداخت لیست بیمه ماه تیر</t>
        </is>
      </c>
      <c r="E31" s="9" t="inlineStr">
        <is>
          <t>ماهانه</t>
        </is>
      </c>
      <c r="F31" s="9" t="inlineStr">
        <is>
          <t>تیر</t>
        </is>
      </c>
      <c r="G31" s="10" t="n">
        <v>46256</v>
      </c>
      <c r="H31" s="9" t="inlineStr">
        <is>
          <t>1405/05/31</t>
        </is>
      </c>
      <c r="I31" s="9" t="n">
        <v>7</v>
      </c>
      <c r="J31" s="10">
        <f>IF(G31="","",G31-I31)</f>
        <v/>
      </c>
      <c r="K31" s="9" t="inlineStr">
        <is>
          <t>خیلی بالا</t>
        </is>
      </c>
      <c r="L31" s="9" t="inlineStr">
        <is>
          <t>باز</t>
        </is>
      </c>
      <c r="M31" s="9">
        <f>IF(D31="","",IF(L31="انجام شده","انجام شده",IF(L31="لغو شده","لغو شده",IF(G31&lt;TODAY(),"عقب‌افتاده",IF(G31=TODAY(),"امروز",IF(G31&lt;=TODAY()+7,"تا ۷ روز",IF(G31&lt;=TODAY()+15,"تا ۱۵ روز","آینده")))))))</f>
        <v/>
      </c>
      <c r="N31" s="9" t="inlineStr"/>
      <c r="O31" s="9" t="n">
        <v>0</v>
      </c>
      <c r="P31" s="10" t="n"/>
      <c r="Q31" s="9" t="inlineStr"/>
      <c r="R31" s="9" t="inlineStr">
        <is>
          <t>پیش‌فرض 1405</t>
        </is>
      </c>
      <c r="S31" s="9" t="inlineStr">
        <is>
          <t>T106</t>
        </is>
      </c>
      <c r="T31" s="9" t="inlineStr">
        <is>
          <t>بله</t>
        </is>
      </c>
    </row>
    <row r="32">
      <c r="A32" s="9" t="inlineStr">
        <is>
          <t>1405-0031</t>
        </is>
      </c>
      <c r="B32" s="9" t="inlineStr">
        <is>
          <t>موسسه شهر کتاب مرکزی</t>
        </is>
      </c>
      <c r="C32" s="9" t="inlineStr">
        <is>
          <t>حقوق و دستمزد</t>
        </is>
      </c>
      <c r="D32" s="9" t="inlineStr">
        <is>
          <t>ارسال/پرداخت مالیات حقوق ماه تیر</t>
        </is>
      </c>
      <c r="E32" s="9" t="inlineStr">
        <is>
          <t>ماهانه</t>
        </is>
      </c>
      <c r="F32" s="9" t="inlineStr">
        <is>
          <t>تیر</t>
        </is>
      </c>
      <c r="G32" s="10" t="n">
        <v>46256</v>
      </c>
      <c r="H32" s="9" t="inlineStr">
        <is>
          <t>1405/05/31</t>
        </is>
      </c>
      <c r="I32" s="9" t="n">
        <v>7</v>
      </c>
      <c r="J32" s="10">
        <f>IF(G32="","",G32-I32)</f>
        <v/>
      </c>
      <c r="K32" s="9" t="inlineStr">
        <is>
          <t>خیلی بالا</t>
        </is>
      </c>
      <c r="L32" s="9" t="inlineStr">
        <is>
          <t>باز</t>
        </is>
      </c>
      <c r="M32" s="9">
        <f>IF(D32="","",IF(L32="انجام شده","انجام شده",IF(L32="لغو شده","لغو شده",IF(G32&lt;TODAY(),"عقب‌افتاده",IF(G32=TODAY(),"امروز",IF(G32&lt;=TODAY()+7,"تا ۷ روز",IF(G32&lt;=TODAY()+15,"تا ۱۵ روز","آینده")))))))</f>
        <v/>
      </c>
      <c r="N32" s="9" t="inlineStr"/>
      <c r="O32" s="9" t="n">
        <v>0</v>
      </c>
      <c r="P32" s="10" t="n"/>
      <c r="Q32" s="9" t="inlineStr"/>
      <c r="R32" s="9" t="inlineStr">
        <is>
          <t>پیش‌فرض 1405</t>
        </is>
      </c>
      <c r="S32" s="9" t="inlineStr">
        <is>
          <t>T107</t>
        </is>
      </c>
      <c r="T32" s="9" t="inlineStr">
        <is>
          <t>بله</t>
        </is>
      </c>
    </row>
    <row r="33">
      <c r="A33" s="9" t="inlineStr">
        <is>
          <t>1405-0032</t>
        </is>
      </c>
      <c r="B33" s="9" t="inlineStr">
        <is>
          <t>موسسه شهر کتاب مرکزی</t>
        </is>
      </c>
      <c r="C33" s="9" t="inlineStr">
        <is>
          <t>بایگانی</t>
        </is>
      </c>
      <c r="D33" s="9" t="inlineStr">
        <is>
          <t>بایگانی مدارک و اسناد ماه تیر</t>
        </is>
      </c>
      <c r="E33" s="9" t="inlineStr">
        <is>
          <t>ماهانه</t>
        </is>
      </c>
      <c r="F33" s="9" t="inlineStr">
        <is>
          <t>تیر</t>
        </is>
      </c>
      <c r="G33" s="10" t="n">
        <v>46240</v>
      </c>
      <c r="H33" s="9" t="inlineStr">
        <is>
          <t>1405/05/15</t>
        </is>
      </c>
      <c r="I33" s="9" t="n">
        <v>3</v>
      </c>
      <c r="J33" s="10">
        <f>IF(G33="","",G33-I33)</f>
        <v/>
      </c>
      <c r="K33" s="9" t="inlineStr">
        <is>
          <t>متوسط</t>
        </is>
      </c>
      <c r="L33" s="9" t="inlineStr">
        <is>
          <t>باز</t>
        </is>
      </c>
      <c r="M33" s="9">
        <f>IF(D33="","",IF(L33="انجام شده","انجام شده",IF(L33="لغو شده","لغو شده",IF(G33&lt;TODAY(),"عقب‌افتاده",IF(G33=TODAY(),"امروز",IF(G33&lt;=TODAY()+7,"تا ۷ روز",IF(G33&lt;=TODAY()+15,"تا ۱۵ روز","آینده")))))))</f>
        <v/>
      </c>
      <c r="N33" s="9" t="inlineStr"/>
      <c r="O33" s="9" t="n">
        <v>0</v>
      </c>
      <c r="P33" s="10" t="n"/>
      <c r="Q33" s="9" t="inlineStr"/>
      <c r="R33" s="9" t="inlineStr">
        <is>
          <t>پیش‌فرض 1405</t>
        </is>
      </c>
      <c r="S33" s="9" t="inlineStr">
        <is>
          <t>T108</t>
        </is>
      </c>
      <c r="T33" s="9" t="inlineStr">
        <is>
          <t>بله</t>
        </is>
      </c>
    </row>
    <row r="34">
      <c r="A34" s="9" t="inlineStr">
        <is>
          <t>1405-0033</t>
        </is>
      </c>
      <c r="B34" s="9" t="inlineStr">
        <is>
          <t>موسسه شهر کتاب مرکزی</t>
        </is>
      </c>
      <c r="C34" s="9" t="inlineStr">
        <is>
          <t>پایان ماه</t>
        </is>
      </c>
      <c r="D34" s="9" t="inlineStr">
        <is>
          <t>مغایرت‌گیری بانکی ماه مرداد</t>
        </is>
      </c>
      <c r="E34" s="9" t="inlineStr">
        <is>
          <t>ماهانه</t>
        </is>
      </c>
      <c r="F34" s="9" t="inlineStr">
        <is>
          <t>مرداد</t>
        </is>
      </c>
      <c r="G34" s="10" t="n">
        <v>46261</v>
      </c>
      <c r="H34" s="9" t="inlineStr">
        <is>
          <t>1405/06/05</t>
        </is>
      </c>
      <c r="I34" s="9" t="n">
        <v>5</v>
      </c>
      <c r="J34" s="10">
        <f>IF(G34="","",G34-I34)</f>
        <v/>
      </c>
      <c r="K34" s="9" t="inlineStr">
        <is>
          <t>بالا</t>
        </is>
      </c>
      <c r="L34" s="9" t="inlineStr">
        <is>
          <t>باز</t>
        </is>
      </c>
      <c r="M34" s="9">
        <f>IF(D34="","",IF(L34="انجام شده","انجام شده",IF(L34="لغو شده","لغو شده",IF(G34&lt;TODAY(),"عقب‌افتاده",IF(G34=TODAY(),"امروز",IF(G34&lt;=TODAY()+7,"تا ۷ روز",IF(G34&lt;=TODAY()+15,"تا ۱۵ روز","آینده")))))))</f>
        <v/>
      </c>
      <c r="N34" s="9" t="inlineStr"/>
      <c r="O34" s="9" t="n">
        <v>0</v>
      </c>
      <c r="P34" s="10" t="n"/>
      <c r="Q34" s="9" t="inlineStr"/>
      <c r="R34" s="9" t="inlineStr">
        <is>
          <t>پیش‌فرض 1405</t>
        </is>
      </c>
      <c r="S34" s="9" t="inlineStr">
        <is>
          <t>T101</t>
        </is>
      </c>
      <c r="T34" s="9" t="inlineStr">
        <is>
          <t>بله</t>
        </is>
      </c>
    </row>
    <row r="35">
      <c r="A35" s="9" t="inlineStr">
        <is>
          <t>1405-0034</t>
        </is>
      </c>
      <c r="B35" s="9" t="inlineStr">
        <is>
          <t>موسسه شهر کتاب مرکزی</t>
        </is>
      </c>
      <c r="C35" s="9" t="inlineStr">
        <is>
          <t>پایان ماه</t>
        </is>
      </c>
      <c r="D35" s="9" t="inlineStr">
        <is>
          <t>کنترل نهایی اسناد ماه مرداد</t>
        </is>
      </c>
      <c r="E35" s="9" t="inlineStr">
        <is>
          <t>ماهانه</t>
        </is>
      </c>
      <c r="F35" s="9" t="inlineStr">
        <is>
          <t>مرداد</t>
        </is>
      </c>
      <c r="G35" s="10" t="n">
        <v>46263</v>
      </c>
      <c r="H35" s="9" t="inlineStr">
        <is>
          <t>1405/06/07</t>
        </is>
      </c>
      <c r="I35" s="9" t="n">
        <v>5</v>
      </c>
      <c r="J35" s="10">
        <f>IF(G35="","",G35-I35)</f>
        <v/>
      </c>
      <c r="K35" s="9" t="inlineStr">
        <is>
          <t>بالا</t>
        </is>
      </c>
      <c r="L35" s="9" t="inlineStr">
        <is>
          <t>باز</t>
        </is>
      </c>
      <c r="M35" s="9">
        <f>IF(D35="","",IF(L35="انجام شده","انجام شده",IF(L35="لغو شده","لغو شده",IF(G35&lt;TODAY(),"عقب‌افتاده",IF(G35=TODAY(),"امروز",IF(G35&lt;=TODAY()+7,"تا ۷ روز",IF(G35&lt;=TODAY()+15,"تا ۱۵ روز","آینده")))))))</f>
        <v/>
      </c>
      <c r="N35" s="9" t="inlineStr"/>
      <c r="O35" s="9" t="n">
        <v>0</v>
      </c>
      <c r="P35" s="10" t="n"/>
      <c r="Q35" s="9" t="inlineStr"/>
      <c r="R35" s="9" t="inlineStr">
        <is>
          <t>پیش‌فرض 1405</t>
        </is>
      </c>
      <c r="S35" s="9" t="inlineStr">
        <is>
          <t>T102</t>
        </is>
      </c>
      <c r="T35" s="9" t="inlineStr">
        <is>
          <t>بله</t>
        </is>
      </c>
    </row>
    <row r="36">
      <c r="A36" s="9" t="inlineStr">
        <is>
          <t>1405-0035</t>
        </is>
      </c>
      <c r="B36" s="9" t="inlineStr">
        <is>
          <t>موسسه شهر کتاب مرکزی</t>
        </is>
      </c>
      <c r="C36" s="9" t="inlineStr">
        <is>
          <t>پایان ماه</t>
        </is>
      </c>
      <c r="D36" s="9" t="inlineStr">
        <is>
          <t>بستن حساب‌های ماه مرداد و کنترل مانده‌ها</t>
        </is>
      </c>
      <c r="E36" s="9" t="inlineStr">
        <is>
          <t>ماهانه</t>
        </is>
      </c>
      <c r="F36" s="9" t="inlineStr">
        <is>
          <t>مرداد</t>
        </is>
      </c>
      <c r="G36" s="10" t="n">
        <v>46266</v>
      </c>
      <c r="H36" s="9" t="inlineStr">
        <is>
          <t>1405/06/10</t>
        </is>
      </c>
      <c r="I36" s="9" t="n">
        <v>7</v>
      </c>
      <c r="J36" s="10">
        <f>IF(G36="","",G36-I36)</f>
        <v/>
      </c>
      <c r="K36" s="9" t="inlineStr">
        <is>
          <t>بالا</t>
        </is>
      </c>
      <c r="L36" s="9" t="inlineStr">
        <is>
          <t>باز</t>
        </is>
      </c>
      <c r="M36" s="9">
        <f>IF(D36="","",IF(L36="انجام شده","انجام شده",IF(L36="لغو شده","لغو شده",IF(G36&lt;TODAY(),"عقب‌افتاده",IF(G36=TODAY(),"امروز",IF(G36&lt;=TODAY()+7,"تا ۷ روز",IF(G36&lt;=TODAY()+15,"تا ۱۵ روز","آینده")))))))</f>
        <v/>
      </c>
      <c r="N36" s="9" t="inlineStr"/>
      <c r="O36" s="9" t="n">
        <v>0</v>
      </c>
      <c r="P36" s="10" t="n"/>
      <c r="Q36" s="9" t="inlineStr"/>
      <c r="R36" s="9" t="inlineStr">
        <is>
          <t>پیش‌فرض 1405</t>
        </is>
      </c>
      <c r="S36" s="9" t="inlineStr">
        <is>
          <t>T103</t>
        </is>
      </c>
      <c r="T36" s="9" t="inlineStr">
        <is>
          <t>بله</t>
        </is>
      </c>
    </row>
    <row r="37">
      <c r="A37" s="9" t="inlineStr">
        <is>
          <t>1405-0036</t>
        </is>
      </c>
      <c r="B37" s="9" t="inlineStr">
        <is>
          <t>موسسه شهر کتاب مرکزی</t>
        </is>
      </c>
      <c r="C37" s="9" t="inlineStr">
        <is>
          <t>گزارش</t>
        </is>
      </c>
      <c r="D37" s="9" t="inlineStr">
        <is>
          <t>تهیه گزارش مدیریت ماه مرداد</t>
        </is>
      </c>
      <c r="E37" s="9" t="inlineStr">
        <is>
          <t>ماهانه</t>
        </is>
      </c>
      <c r="F37" s="9" t="inlineStr">
        <is>
          <t>مرداد</t>
        </is>
      </c>
      <c r="G37" s="10" t="n">
        <v>46266</v>
      </c>
      <c r="H37" s="9" t="inlineStr">
        <is>
          <t>1405/06/10</t>
        </is>
      </c>
      <c r="I37" s="9" t="n">
        <v>5</v>
      </c>
      <c r="J37" s="10">
        <f>IF(G37="","",G37-I37)</f>
        <v/>
      </c>
      <c r="K37" s="9" t="inlineStr">
        <is>
          <t>متوسط</t>
        </is>
      </c>
      <c r="L37" s="9" t="inlineStr">
        <is>
          <t>باز</t>
        </is>
      </c>
      <c r="M37" s="9">
        <f>IF(D37="","",IF(L37="انجام شده","انجام شده",IF(L37="لغو شده","لغو شده",IF(G37&lt;TODAY(),"عقب‌افتاده",IF(G37=TODAY(),"امروز",IF(G37&lt;=TODAY()+7,"تا ۷ روز",IF(G37&lt;=TODAY()+15,"تا ۱۵ روز","آینده")))))))</f>
        <v/>
      </c>
      <c r="N37" s="9" t="inlineStr"/>
      <c r="O37" s="9" t="n">
        <v>0</v>
      </c>
      <c r="P37" s="10" t="n"/>
      <c r="Q37" s="9" t="inlineStr"/>
      <c r="R37" s="9" t="inlineStr">
        <is>
          <t>پیش‌فرض 1405</t>
        </is>
      </c>
      <c r="S37" s="9" t="inlineStr">
        <is>
          <t>T104</t>
        </is>
      </c>
      <c r="T37" s="9" t="inlineStr">
        <is>
          <t>بله</t>
        </is>
      </c>
    </row>
    <row r="38">
      <c r="A38" s="9" t="inlineStr">
        <is>
          <t>1405-0037</t>
        </is>
      </c>
      <c r="B38" s="9" t="inlineStr">
        <is>
          <t>موسسه شهر کتاب مرکزی</t>
        </is>
      </c>
      <c r="C38" s="9" t="inlineStr">
        <is>
          <t>حقوق و دستمزد</t>
        </is>
      </c>
      <c r="D38" s="9" t="inlineStr">
        <is>
          <t>محاسبه حقوق و دستمزد ماه مرداد</t>
        </is>
      </c>
      <c r="E38" s="9" t="inlineStr">
        <is>
          <t>ماهانه</t>
        </is>
      </c>
      <c r="F38" s="9" t="inlineStr">
        <is>
          <t>مرداد</t>
        </is>
      </c>
      <c r="G38" s="10" t="n">
        <v>46253</v>
      </c>
      <c r="H38" s="9" t="inlineStr">
        <is>
          <t>1405/05/28</t>
        </is>
      </c>
      <c r="I38" s="9" t="n">
        <v>5</v>
      </c>
      <c r="J38" s="10">
        <f>IF(G38="","",G38-I38)</f>
        <v/>
      </c>
      <c r="K38" s="9" t="inlineStr">
        <is>
          <t>بالا</t>
        </is>
      </c>
      <c r="L38" s="9" t="inlineStr">
        <is>
          <t>باز</t>
        </is>
      </c>
      <c r="M38" s="9">
        <f>IF(D38="","",IF(L38="انجام شده","انجام شده",IF(L38="لغو شده","لغو شده",IF(G38&lt;TODAY(),"عقب‌افتاده",IF(G38=TODAY(),"امروز",IF(G38&lt;=TODAY()+7,"تا ۷ روز",IF(G38&lt;=TODAY()+15,"تا ۱۵ روز","آینده")))))))</f>
        <v/>
      </c>
      <c r="N38" s="9" t="inlineStr"/>
      <c r="O38" s="9" t="n">
        <v>0</v>
      </c>
      <c r="P38" s="10" t="n"/>
      <c r="Q38" s="9" t="inlineStr"/>
      <c r="R38" s="9" t="inlineStr">
        <is>
          <t>پیش‌فرض 1405</t>
        </is>
      </c>
      <c r="S38" s="9" t="inlineStr">
        <is>
          <t>T105</t>
        </is>
      </c>
      <c r="T38" s="9" t="inlineStr">
        <is>
          <t>بله</t>
        </is>
      </c>
    </row>
    <row r="39">
      <c r="A39" s="9" t="inlineStr">
        <is>
          <t>1405-0038</t>
        </is>
      </c>
      <c r="B39" s="9" t="inlineStr">
        <is>
          <t>موسسه شهر کتاب مرکزی</t>
        </is>
      </c>
      <c r="C39" s="9" t="inlineStr">
        <is>
          <t>حقوق و دستمزد</t>
        </is>
      </c>
      <c r="D39" s="9" t="inlineStr">
        <is>
          <t>ارسال/پرداخت لیست بیمه ماه مرداد</t>
        </is>
      </c>
      <c r="E39" s="9" t="inlineStr">
        <is>
          <t>ماهانه</t>
        </is>
      </c>
      <c r="F39" s="9" t="inlineStr">
        <is>
          <t>مرداد</t>
        </is>
      </c>
      <c r="G39" s="10" t="n">
        <v>46287</v>
      </c>
      <c r="H39" s="9" t="inlineStr">
        <is>
          <t>1405/06/31</t>
        </is>
      </c>
      <c r="I39" s="9" t="n">
        <v>7</v>
      </c>
      <c r="J39" s="10">
        <f>IF(G39="","",G39-I39)</f>
        <v/>
      </c>
      <c r="K39" s="9" t="inlineStr">
        <is>
          <t>خیلی بالا</t>
        </is>
      </c>
      <c r="L39" s="9" t="inlineStr">
        <is>
          <t>باز</t>
        </is>
      </c>
      <c r="M39" s="9">
        <f>IF(D39="","",IF(L39="انجام شده","انجام شده",IF(L39="لغو شده","لغو شده",IF(G39&lt;TODAY(),"عقب‌افتاده",IF(G39=TODAY(),"امروز",IF(G39&lt;=TODAY()+7,"تا ۷ روز",IF(G39&lt;=TODAY()+15,"تا ۱۵ روز","آینده")))))))</f>
        <v/>
      </c>
      <c r="N39" s="9" t="inlineStr"/>
      <c r="O39" s="9" t="n">
        <v>0</v>
      </c>
      <c r="P39" s="10" t="n"/>
      <c r="Q39" s="9" t="inlineStr"/>
      <c r="R39" s="9" t="inlineStr">
        <is>
          <t>پیش‌فرض 1405</t>
        </is>
      </c>
      <c r="S39" s="9" t="inlineStr">
        <is>
          <t>T106</t>
        </is>
      </c>
      <c r="T39" s="9" t="inlineStr">
        <is>
          <t>بله</t>
        </is>
      </c>
    </row>
    <row r="40">
      <c r="A40" s="9" t="inlineStr">
        <is>
          <t>1405-0039</t>
        </is>
      </c>
      <c r="B40" s="9" t="inlineStr">
        <is>
          <t>موسسه شهر کتاب مرکزی</t>
        </is>
      </c>
      <c r="C40" s="9" t="inlineStr">
        <is>
          <t>حقوق و دستمزد</t>
        </is>
      </c>
      <c r="D40" s="9" t="inlineStr">
        <is>
          <t>ارسال/پرداخت مالیات حقوق ماه مرداد</t>
        </is>
      </c>
      <c r="E40" s="9" t="inlineStr">
        <is>
          <t>ماهانه</t>
        </is>
      </c>
      <c r="F40" s="9" t="inlineStr">
        <is>
          <t>مرداد</t>
        </is>
      </c>
      <c r="G40" s="10" t="n">
        <v>46287</v>
      </c>
      <c r="H40" s="9" t="inlineStr">
        <is>
          <t>1405/06/31</t>
        </is>
      </c>
      <c r="I40" s="9" t="n">
        <v>7</v>
      </c>
      <c r="J40" s="10">
        <f>IF(G40="","",G40-I40)</f>
        <v/>
      </c>
      <c r="K40" s="9" t="inlineStr">
        <is>
          <t>خیلی بالا</t>
        </is>
      </c>
      <c r="L40" s="9" t="inlineStr">
        <is>
          <t>باز</t>
        </is>
      </c>
      <c r="M40" s="9">
        <f>IF(D40="","",IF(L40="انجام شده","انجام شده",IF(L40="لغو شده","لغو شده",IF(G40&lt;TODAY(),"عقب‌افتاده",IF(G40=TODAY(),"امروز",IF(G40&lt;=TODAY()+7,"تا ۷ روز",IF(G40&lt;=TODAY()+15,"تا ۱۵ روز","آینده")))))))</f>
        <v/>
      </c>
      <c r="N40" s="9" t="inlineStr"/>
      <c r="O40" s="9" t="n">
        <v>0</v>
      </c>
      <c r="P40" s="10" t="n"/>
      <c r="Q40" s="9" t="inlineStr"/>
      <c r="R40" s="9" t="inlineStr">
        <is>
          <t>پیش‌فرض 1405</t>
        </is>
      </c>
      <c r="S40" s="9" t="inlineStr">
        <is>
          <t>T107</t>
        </is>
      </c>
      <c r="T40" s="9" t="inlineStr">
        <is>
          <t>بله</t>
        </is>
      </c>
    </row>
    <row r="41">
      <c r="A41" s="9" t="inlineStr">
        <is>
          <t>1405-0040</t>
        </is>
      </c>
      <c r="B41" s="9" t="inlineStr">
        <is>
          <t>موسسه شهر کتاب مرکزی</t>
        </is>
      </c>
      <c r="C41" s="9" t="inlineStr">
        <is>
          <t>بایگانی</t>
        </is>
      </c>
      <c r="D41" s="9" t="inlineStr">
        <is>
          <t>بایگانی مدارک و اسناد ماه مرداد</t>
        </is>
      </c>
      <c r="E41" s="9" t="inlineStr">
        <is>
          <t>ماهانه</t>
        </is>
      </c>
      <c r="F41" s="9" t="inlineStr">
        <is>
          <t>مرداد</t>
        </is>
      </c>
      <c r="G41" s="10" t="n">
        <v>46271</v>
      </c>
      <c r="H41" s="9" t="inlineStr">
        <is>
          <t>1405/06/15</t>
        </is>
      </c>
      <c r="I41" s="9" t="n">
        <v>3</v>
      </c>
      <c r="J41" s="10">
        <f>IF(G41="","",G41-I41)</f>
        <v/>
      </c>
      <c r="K41" s="9" t="inlineStr">
        <is>
          <t>متوسط</t>
        </is>
      </c>
      <c r="L41" s="9" t="inlineStr">
        <is>
          <t>باز</t>
        </is>
      </c>
      <c r="M41" s="9">
        <f>IF(D41="","",IF(L41="انجام شده","انجام شده",IF(L41="لغو شده","لغو شده",IF(G41&lt;TODAY(),"عقب‌افتاده",IF(G41=TODAY(),"امروز",IF(G41&lt;=TODAY()+7,"تا ۷ روز",IF(G41&lt;=TODAY()+15,"تا ۱۵ روز","آینده")))))))</f>
        <v/>
      </c>
      <c r="N41" s="9" t="inlineStr"/>
      <c r="O41" s="9" t="n">
        <v>0</v>
      </c>
      <c r="P41" s="10" t="n"/>
      <c r="Q41" s="9" t="inlineStr"/>
      <c r="R41" s="9" t="inlineStr">
        <is>
          <t>پیش‌فرض 1405</t>
        </is>
      </c>
      <c r="S41" s="9" t="inlineStr">
        <is>
          <t>T108</t>
        </is>
      </c>
      <c r="T41" s="9" t="inlineStr">
        <is>
          <t>بله</t>
        </is>
      </c>
    </row>
    <row r="42">
      <c r="A42" s="9" t="inlineStr">
        <is>
          <t>1405-0041</t>
        </is>
      </c>
      <c r="B42" s="9" t="inlineStr">
        <is>
          <t>موسسه شهر کتاب مرکزی</t>
        </is>
      </c>
      <c r="C42" s="9" t="inlineStr">
        <is>
          <t>پایان ماه</t>
        </is>
      </c>
      <c r="D42" s="9" t="inlineStr">
        <is>
          <t>مغایرت‌گیری بانکی ماه شهریور</t>
        </is>
      </c>
      <c r="E42" s="9" t="inlineStr">
        <is>
          <t>ماهانه</t>
        </is>
      </c>
      <c r="F42" s="9" t="inlineStr">
        <is>
          <t>شهریور</t>
        </is>
      </c>
      <c r="G42" s="10" t="n">
        <v>46292</v>
      </c>
      <c r="H42" s="9" t="inlineStr">
        <is>
          <t>1405/07/05</t>
        </is>
      </c>
      <c r="I42" s="9" t="n">
        <v>5</v>
      </c>
      <c r="J42" s="10">
        <f>IF(G42="","",G42-I42)</f>
        <v/>
      </c>
      <c r="K42" s="9" t="inlineStr">
        <is>
          <t>بالا</t>
        </is>
      </c>
      <c r="L42" s="9" t="inlineStr">
        <is>
          <t>باز</t>
        </is>
      </c>
      <c r="M42" s="9">
        <f>IF(D42="","",IF(L42="انجام شده","انجام شده",IF(L42="لغو شده","لغو شده",IF(G42&lt;TODAY(),"عقب‌افتاده",IF(G42=TODAY(),"امروز",IF(G42&lt;=TODAY()+7,"تا ۷ روز",IF(G42&lt;=TODAY()+15,"تا ۱۵ روز","آینده")))))))</f>
        <v/>
      </c>
      <c r="N42" s="9" t="inlineStr"/>
      <c r="O42" s="9" t="n">
        <v>0</v>
      </c>
      <c r="P42" s="10" t="n"/>
      <c r="Q42" s="9" t="inlineStr"/>
      <c r="R42" s="9" t="inlineStr">
        <is>
          <t>پیش‌فرض 1405</t>
        </is>
      </c>
      <c r="S42" s="9" t="inlineStr">
        <is>
          <t>T101</t>
        </is>
      </c>
      <c r="T42" s="9" t="inlineStr">
        <is>
          <t>بله</t>
        </is>
      </c>
    </row>
    <row r="43">
      <c r="A43" s="9" t="inlineStr">
        <is>
          <t>1405-0042</t>
        </is>
      </c>
      <c r="B43" s="9" t="inlineStr">
        <is>
          <t>موسسه شهر کتاب مرکزی</t>
        </is>
      </c>
      <c r="C43" s="9" t="inlineStr">
        <is>
          <t>پایان ماه</t>
        </is>
      </c>
      <c r="D43" s="9" t="inlineStr">
        <is>
          <t>کنترل نهایی اسناد ماه شهریور</t>
        </is>
      </c>
      <c r="E43" s="9" t="inlineStr">
        <is>
          <t>ماهانه</t>
        </is>
      </c>
      <c r="F43" s="9" t="inlineStr">
        <is>
          <t>شهریور</t>
        </is>
      </c>
      <c r="G43" s="10" t="n">
        <v>46294</v>
      </c>
      <c r="H43" s="9" t="inlineStr">
        <is>
          <t>1405/07/07</t>
        </is>
      </c>
      <c r="I43" s="9" t="n">
        <v>5</v>
      </c>
      <c r="J43" s="10">
        <f>IF(G43="","",G43-I43)</f>
        <v/>
      </c>
      <c r="K43" s="9" t="inlineStr">
        <is>
          <t>بالا</t>
        </is>
      </c>
      <c r="L43" s="9" t="inlineStr">
        <is>
          <t>باز</t>
        </is>
      </c>
      <c r="M43" s="9">
        <f>IF(D43="","",IF(L43="انجام شده","انجام شده",IF(L43="لغو شده","لغو شده",IF(G43&lt;TODAY(),"عقب‌افتاده",IF(G43=TODAY(),"امروز",IF(G43&lt;=TODAY()+7,"تا ۷ روز",IF(G43&lt;=TODAY()+15,"تا ۱۵ روز","آینده")))))))</f>
        <v/>
      </c>
      <c r="N43" s="9" t="inlineStr"/>
      <c r="O43" s="9" t="n">
        <v>0</v>
      </c>
      <c r="P43" s="10" t="n"/>
      <c r="Q43" s="9" t="inlineStr"/>
      <c r="R43" s="9" t="inlineStr">
        <is>
          <t>پیش‌فرض 1405</t>
        </is>
      </c>
      <c r="S43" s="9" t="inlineStr">
        <is>
          <t>T102</t>
        </is>
      </c>
      <c r="T43" s="9" t="inlineStr">
        <is>
          <t>بله</t>
        </is>
      </c>
    </row>
    <row r="44">
      <c r="A44" s="9" t="inlineStr">
        <is>
          <t>1405-0043</t>
        </is>
      </c>
      <c r="B44" s="9" t="inlineStr">
        <is>
          <t>موسسه شهر کتاب مرکزی</t>
        </is>
      </c>
      <c r="C44" s="9" t="inlineStr">
        <is>
          <t>پایان ماه</t>
        </is>
      </c>
      <c r="D44" s="9" t="inlineStr">
        <is>
          <t>بستن حساب‌های ماه شهریور و کنترل مانده‌ها</t>
        </is>
      </c>
      <c r="E44" s="9" t="inlineStr">
        <is>
          <t>ماهانه</t>
        </is>
      </c>
      <c r="F44" s="9" t="inlineStr">
        <is>
          <t>شهریور</t>
        </is>
      </c>
      <c r="G44" s="10" t="n">
        <v>46297</v>
      </c>
      <c r="H44" s="9" t="inlineStr">
        <is>
          <t>1405/07/10</t>
        </is>
      </c>
      <c r="I44" s="9" t="n">
        <v>7</v>
      </c>
      <c r="J44" s="10">
        <f>IF(G44="","",G44-I44)</f>
        <v/>
      </c>
      <c r="K44" s="9" t="inlineStr">
        <is>
          <t>بالا</t>
        </is>
      </c>
      <c r="L44" s="9" t="inlineStr">
        <is>
          <t>باز</t>
        </is>
      </c>
      <c r="M44" s="9">
        <f>IF(D44="","",IF(L44="انجام شده","انجام شده",IF(L44="لغو شده","لغو شده",IF(G44&lt;TODAY(),"عقب‌افتاده",IF(G44=TODAY(),"امروز",IF(G44&lt;=TODAY()+7,"تا ۷ روز",IF(G44&lt;=TODAY()+15,"تا ۱۵ روز","آینده")))))))</f>
        <v/>
      </c>
      <c r="N44" s="9" t="inlineStr"/>
      <c r="O44" s="9" t="n">
        <v>0</v>
      </c>
      <c r="P44" s="10" t="n"/>
      <c r="Q44" s="9" t="inlineStr"/>
      <c r="R44" s="9" t="inlineStr">
        <is>
          <t>پیش‌فرض 1405</t>
        </is>
      </c>
      <c r="S44" s="9" t="inlineStr">
        <is>
          <t>T103</t>
        </is>
      </c>
      <c r="T44" s="9" t="inlineStr">
        <is>
          <t>بله</t>
        </is>
      </c>
    </row>
    <row r="45">
      <c r="A45" s="9" t="inlineStr">
        <is>
          <t>1405-0044</t>
        </is>
      </c>
      <c r="B45" s="9" t="inlineStr">
        <is>
          <t>موسسه شهر کتاب مرکزی</t>
        </is>
      </c>
      <c r="C45" s="9" t="inlineStr">
        <is>
          <t>گزارش</t>
        </is>
      </c>
      <c r="D45" s="9" t="inlineStr">
        <is>
          <t>تهیه گزارش مدیریت ماه شهریور</t>
        </is>
      </c>
      <c r="E45" s="9" t="inlineStr">
        <is>
          <t>ماهانه</t>
        </is>
      </c>
      <c r="F45" s="9" t="inlineStr">
        <is>
          <t>شهریور</t>
        </is>
      </c>
      <c r="G45" s="10" t="n">
        <v>46297</v>
      </c>
      <c r="H45" s="9" t="inlineStr">
        <is>
          <t>1405/07/10</t>
        </is>
      </c>
      <c r="I45" s="9" t="n">
        <v>5</v>
      </c>
      <c r="J45" s="10">
        <f>IF(G45="","",G45-I45)</f>
        <v/>
      </c>
      <c r="K45" s="9" t="inlineStr">
        <is>
          <t>متوسط</t>
        </is>
      </c>
      <c r="L45" s="9" t="inlineStr">
        <is>
          <t>باز</t>
        </is>
      </c>
      <c r="M45" s="9">
        <f>IF(D45="","",IF(L45="انجام شده","انجام شده",IF(L45="لغو شده","لغو شده",IF(G45&lt;TODAY(),"عقب‌افتاده",IF(G45=TODAY(),"امروز",IF(G45&lt;=TODAY()+7,"تا ۷ روز",IF(G45&lt;=TODAY()+15,"تا ۱۵ روز","آینده")))))))</f>
        <v/>
      </c>
      <c r="N45" s="9" t="inlineStr"/>
      <c r="O45" s="9" t="n">
        <v>0</v>
      </c>
      <c r="P45" s="10" t="n"/>
      <c r="Q45" s="9" t="inlineStr"/>
      <c r="R45" s="9" t="inlineStr">
        <is>
          <t>پیش‌فرض 1405</t>
        </is>
      </c>
      <c r="S45" s="9" t="inlineStr">
        <is>
          <t>T104</t>
        </is>
      </c>
      <c r="T45" s="9" t="inlineStr">
        <is>
          <t>بله</t>
        </is>
      </c>
    </row>
    <row r="46">
      <c r="A46" s="9" t="inlineStr">
        <is>
          <t>1405-0045</t>
        </is>
      </c>
      <c r="B46" s="9" t="inlineStr">
        <is>
          <t>موسسه شهر کتاب مرکزی</t>
        </is>
      </c>
      <c r="C46" s="9" t="inlineStr">
        <is>
          <t>حقوق و دستمزد</t>
        </is>
      </c>
      <c r="D46" s="9" t="inlineStr">
        <is>
          <t>محاسبه حقوق و دستمزد ماه شهریور</t>
        </is>
      </c>
      <c r="E46" s="9" t="inlineStr">
        <is>
          <t>ماهانه</t>
        </is>
      </c>
      <c r="F46" s="9" t="inlineStr">
        <is>
          <t>شهریور</t>
        </is>
      </c>
      <c r="G46" s="10" t="n">
        <v>46284</v>
      </c>
      <c r="H46" s="9" t="inlineStr">
        <is>
          <t>1405/06/28</t>
        </is>
      </c>
      <c r="I46" s="9" t="n">
        <v>5</v>
      </c>
      <c r="J46" s="10">
        <f>IF(G46="","",G46-I46)</f>
        <v/>
      </c>
      <c r="K46" s="9" t="inlineStr">
        <is>
          <t>بالا</t>
        </is>
      </c>
      <c r="L46" s="9" t="inlineStr">
        <is>
          <t>باز</t>
        </is>
      </c>
      <c r="M46" s="9">
        <f>IF(D46="","",IF(L46="انجام شده","انجام شده",IF(L46="لغو شده","لغو شده",IF(G46&lt;TODAY(),"عقب‌افتاده",IF(G46=TODAY(),"امروز",IF(G46&lt;=TODAY()+7,"تا ۷ روز",IF(G46&lt;=TODAY()+15,"تا ۱۵ روز","آینده")))))))</f>
        <v/>
      </c>
      <c r="N46" s="9" t="inlineStr"/>
      <c r="O46" s="9" t="n">
        <v>0</v>
      </c>
      <c r="P46" s="10" t="n"/>
      <c r="Q46" s="9" t="inlineStr"/>
      <c r="R46" s="9" t="inlineStr">
        <is>
          <t>پیش‌فرض 1405</t>
        </is>
      </c>
      <c r="S46" s="9" t="inlineStr">
        <is>
          <t>T105</t>
        </is>
      </c>
      <c r="T46" s="9" t="inlineStr">
        <is>
          <t>بله</t>
        </is>
      </c>
    </row>
    <row r="47">
      <c r="A47" s="9" t="inlineStr">
        <is>
          <t>1405-0046</t>
        </is>
      </c>
      <c r="B47" s="9" t="inlineStr">
        <is>
          <t>موسسه شهر کتاب مرکزی</t>
        </is>
      </c>
      <c r="C47" s="9" t="inlineStr">
        <is>
          <t>حقوق و دستمزد</t>
        </is>
      </c>
      <c r="D47" s="9" t="inlineStr">
        <is>
          <t>ارسال/پرداخت لیست بیمه ماه شهریور</t>
        </is>
      </c>
      <c r="E47" s="9" t="inlineStr">
        <is>
          <t>ماهانه</t>
        </is>
      </c>
      <c r="F47" s="9" t="inlineStr">
        <is>
          <t>شهریور</t>
        </is>
      </c>
      <c r="G47" s="10" t="n">
        <v>46317</v>
      </c>
      <c r="H47" s="9" t="inlineStr">
        <is>
          <t>1405/07/30</t>
        </is>
      </c>
      <c r="I47" s="9" t="n">
        <v>7</v>
      </c>
      <c r="J47" s="10">
        <f>IF(G47="","",G47-I47)</f>
        <v/>
      </c>
      <c r="K47" s="9" t="inlineStr">
        <is>
          <t>خیلی بالا</t>
        </is>
      </c>
      <c r="L47" s="9" t="inlineStr">
        <is>
          <t>باز</t>
        </is>
      </c>
      <c r="M47" s="9">
        <f>IF(D47="","",IF(L47="انجام شده","انجام شده",IF(L47="لغو شده","لغو شده",IF(G47&lt;TODAY(),"عقب‌افتاده",IF(G47=TODAY(),"امروز",IF(G47&lt;=TODAY()+7,"تا ۷ روز",IF(G47&lt;=TODAY()+15,"تا ۱۵ روز","آینده")))))))</f>
        <v/>
      </c>
      <c r="N47" s="9" t="inlineStr"/>
      <c r="O47" s="9" t="n">
        <v>0</v>
      </c>
      <c r="P47" s="10" t="n"/>
      <c r="Q47" s="9" t="inlineStr"/>
      <c r="R47" s="9" t="inlineStr">
        <is>
          <t>پیش‌فرض 1405</t>
        </is>
      </c>
      <c r="S47" s="9" t="inlineStr">
        <is>
          <t>T106</t>
        </is>
      </c>
      <c r="T47" s="9" t="inlineStr">
        <is>
          <t>بله</t>
        </is>
      </c>
    </row>
    <row r="48">
      <c r="A48" s="9" t="inlineStr">
        <is>
          <t>1405-0047</t>
        </is>
      </c>
      <c r="B48" s="9" t="inlineStr">
        <is>
          <t>موسسه شهر کتاب مرکزی</t>
        </is>
      </c>
      <c r="C48" s="9" t="inlineStr">
        <is>
          <t>حقوق و دستمزد</t>
        </is>
      </c>
      <c r="D48" s="9" t="inlineStr">
        <is>
          <t>ارسال/پرداخت مالیات حقوق ماه شهریور</t>
        </is>
      </c>
      <c r="E48" s="9" t="inlineStr">
        <is>
          <t>ماهانه</t>
        </is>
      </c>
      <c r="F48" s="9" t="inlineStr">
        <is>
          <t>شهریور</t>
        </is>
      </c>
      <c r="G48" s="10" t="n">
        <v>46317</v>
      </c>
      <c r="H48" s="9" t="inlineStr">
        <is>
          <t>1405/07/30</t>
        </is>
      </c>
      <c r="I48" s="9" t="n">
        <v>7</v>
      </c>
      <c r="J48" s="10">
        <f>IF(G48="","",G48-I48)</f>
        <v/>
      </c>
      <c r="K48" s="9" t="inlineStr">
        <is>
          <t>خیلی بالا</t>
        </is>
      </c>
      <c r="L48" s="9" t="inlineStr">
        <is>
          <t>باز</t>
        </is>
      </c>
      <c r="M48" s="9">
        <f>IF(D48="","",IF(L48="انجام شده","انجام شده",IF(L48="لغو شده","لغو شده",IF(G48&lt;TODAY(),"عقب‌افتاده",IF(G48=TODAY(),"امروز",IF(G48&lt;=TODAY()+7,"تا ۷ روز",IF(G48&lt;=TODAY()+15,"تا ۱۵ روز","آینده")))))))</f>
        <v/>
      </c>
      <c r="N48" s="9" t="inlineStr"/>
      <c r="O48" s="9" t="n">
        <v>0</v>
      </c>
      <c r="P48" s="10" t="n"/>
      <c r="Q48" s="9" t="inlineStr"/>
      <c r="R48" s="9" t="inlineStr">
        <is>
          <t>پیش‌فرض 1405</t>
        </is>
      </c>
      <c r="S48" s="9" t="inlineStr">
        <is>
          <t>T107</t>
        </is>
      </c>
      <c r="T48" s="9" t="inlineStr">
        <is>
          <t>بله</t>
        </is>
      </c>
    </row>
    <row r="49">
      <c r="A49" s="9" t="inlineStr">
        <is>
          <t>1405-0048</t>
        </is>
      </c>
      <c r="B49" s="9" t="inlineStr">
        <is>
          <t>موسسه شهر کتاب مرکزی</t>
        </is>
      </c>
      <c r="C49" s="9" t="inlineStr">
        <is>
          <t>بایگانی</t>
        </is>
      </c>
      <c r="D49" s="9" t="inlineStr">
        <is>
          <t>بایگانی مدارک و اسناد ماه شهریور</t>
        </is>
      </c>
      <c r="E49" s="9" t="inlineStr">
        <is>
          <t>ماهانه</t>
        </is>
      </c>
      <c r="F49" s="9" t="inlineStr">
        <is>
          <t>شهریور</t>
        </is>
      </c>
      <c r="G49" s="10" t="n">
        <v>46302</v>
      </c>
      <c r="H49" s="9" t="inlineStr">
        <is>
          <t>1405/07/15</t>
        </is>
      </c>
      <c r="I49" s="9" t="n">
        <v>3</v>
      </c>
      <c r="J49" s="10">
        <f>IF(G49="","",G49-I49)</f>
        <v/>
      </c>
      <c r="K49" s="9" t="inlineStr">
        <is>
          <t>متوسط</t>
        </is>
      </c>
      <c r="L49" s="9" t="inlineStr">
        <is>
          <t>باز</t>
        </is>
      </c>
      <c r="M49" s="9">
        <f>IF(D49="","",IF(L49="انجام شده","انجام شده",IF(L49="لغو شده","لغو شده",IF(G49&lt;TODAY(),"عقب‌افتاده",IF(G49=TODAY(),"امروز",IF(G49&lt;=TODAY()+7,"تا ۷ روز",IF(G49&lt;=TODAY()+15,"تا ۱۵ روز","آینده")))))))</f>
        <v/>
      </c>
      <c r="N49" s="9" t="inlineStr"/>
      <c r="O49" s="9" t="n">
        <v>0</v>
      </c>
      <c r="P49" s="10" t="n"/>
      <c r="Q49" s="9" t="inlineStr"/>
      <c r="R49" s="9" t="inlineStr">
        <is>
          <t>پیش‌فرض 1405</t>
        </is>
      </c>
      <c r="S49" s="9" t="inlineStr">
        <is>
          <t>T108</t>
        </is>
      </c>
      <c r="T49" s="9" t="inlineStr">
        <is>
          <t>بله</t>
        </is>
      </c>
    </row>
    <row r="50">
      <c r="A50" s="9" t="inlineStr">
        <is>
          <t>1405-0049</t>
        </is>
      </c>
      <c r="B50" s="9" t="inlineStr">
        <is>
          <t>موسسه شهر کتاب مرکزی</t>
        </is>
      </c>
      <c r="C50" s="9" t="inlineStr">
        <is>
          <t>پایان ماه</t>
        </is>
      </c>
      <c r="D50" s="9" t="inlineStr">
        <is>
          <t>مغایرت‌گیری بانکی ماه مهر</t>
        </is>
      </c>
      <c r="E50" s="9" t="inlineStr">
        <is>
          <t>ماهانه</t>
        </is>
      </c>
      <c r="F50" s="9" t="inlineStr">
        <is>
          <t>مهر</t>
        </is>
      </c>
      <c r="G50" s="10" t="n">
        <v>46322</v>
      </c>
      <c r="H50" s="9" t="inlineStr">
        <is>
          <t>1405/08/05</t>
        </is>
      </c>
      <c r="I50" s="9" t="n">
        <v>5</v>
      </c>
      <c r="J50" s="10">
        <f>IF(G50="","",G50-I50)</f>
        <v/>
      </c>
      <c r="K50" s="9" t="inlineStr">
        <is>
          <t>بالا</t>
        </is>
      </c>
      <c r="L50" s="9" t="inlineStr">
        <is>
          <t>باز</t>
        </is>
      </c>
      <c r="M50" s="9">
        <f>IF(D50="","",IF(L50="انجام شده","انجام شده",IF(L50="لغو شده","لغو شده",IF(G50&lt;TODAY(),"عقب‌افتاده",IF(G50=TODAY(),"امروز",IF(G50&lt;=TODAY()+7,"تا ۷ روز",IF(G50&lt;=TODAY()+15,"تا ۱۵ روز","آینده")))))))</f>
        <v/>
      </c>
      <c r="N50" s="9" t="inlineStr"/>
      <c r="O50" s="9" t="n">
        <v>0</v>
      </c>
      <c r="P50" s="10" t="n"/>
      <c r="Q50" s="9" t="inlineStr"/>
      <c r="R50" s="9" t="inlineStr">
        <is>
          <t>پیش‌فرض 1405</t>
        </is>
      </c>
      <c r="S50" s="9" t="inlineStr">
        <is>
          <t>T101</t>
        </is>
      </c>
      <c r="T50" s="9" t="inlineStr">
        <is>
          <t>بله</t>
        </is>
      </c>
    </row>
    <row r="51">
      <c r="A51" s="9" t="inlineStr">
        <is>
          <t>1405-0050</t>
        </is>
      </c>
      <c r="B51" s="9" t="inlineStr">
        <is>
          <t>موسسه شهر کتاب مرکزی</t>
        </is>
      </c>
      <c r="C51" s="9" t="inlineStr">
        <is>
          <t>پایان ماه</t>
        </is>
      </c>
      <c r="D51" s="9" t="inlineStr">
        <is>
          <t>کنترل نهایی اسناد ماه مهر</t>
        </is>
      </c>
      <c r="E51" s="9" t="inlineStr">
        <is>
          <t>ماهانه</t>
        </is>
      </c>
      <c r="F51" s="9" t="inlineStr">
        <is>
          <t>مهر</t>
        </is>
      </c>
      <c r="G51" s="10" t="n">
        <v>46324</v>
      </c>
      <c r="H51" s="9" t="inlineStr">
        <is>
          <t>1405/08/07</t>
        </is>
      </c>
      <c r="I51" s="9" t="n">
        <v>5</v>
      </c>
      <c r="J51" s="10">
        <f>IF(G51="","",G51-I51)</f>
        <v/>
      </c>
      <c r="K51" s="9" t="inlineStr">
        <is>
          <t>بالا</t>
        </is>
      </c>
      <c r="L51" s="9" t="inlineStr">
        <is>
          <t>باز</t>
        </is>
      </c>
      <c r="M51" s="9">
        <f>IF(D51="","",IF(L51="انجام شده","انجام شده",IF(L51="لغو شده","لغو شده",IF(G51&lt;TODAY(),"عقب‌افتاده",IF(G51=TODAY(),"امروز",IF(G51&lt;=TODAY()+7,"تا ۷ روز",IF(G51&lt;=TODAY()+15,"تا ۱۵ روز","آینده")))))))</f>
        <v/>
      </c>
      <c r="N51" s="9" t="inlineStr"/>
      <c r="O51" s="9" t="n">
        <v>0</v>
      </c>
      <c r="P51" s="10" t="n"/>
      <c r="Q51" s="9" t="inlineStr"/>
      <c r="R51" s="9" t="inlineStr">
        <is>
          <t>پیش‌فرض 1405</t>
        </is>
      </c>
      <c r="S51" s="9" t="inlineStr">
        <is>
          <t>T102</t>
        </is>
      </c>
      <c r="T51" s="9" t="inlineStr">
        <is>
          <t>بله</t>
        </is>
      </c>
    </row>
    <row r="52">
      <c r="A52" s="9" t="inlineStr">
        <is>
          <t>1405-0051</t>
        </is>
      </c>
      <c r="B52" s="9" t="inlineStr">
        <is>
          <t>موسسه شهر کتاب مرکزی</t>
        </is>
      </c>
      <c r="C52" s="9" t="inlineStr">
        <is>
          <t>پایان ماه</t>
        </is>
      </c>
      <c r="D52" s="9" t="inlineStr">
        <is>
          <t>بستن حساب‌های ماه مهر و کنترل مانده‌ها</t>
        </is>
      </c>
      <c r="E52" s="9" t="inlineStr">
        <is>
          <t>ماهانه</t>
        </is>
      </c>
      <c r="F52" s="9" t="inlineStr">
        <is>
          <t>مهر</t>
        </is>
      </c>
      <c r="G52" s="10" t="n">
        <v>46327</v>
      </c>
      <c r="H52" s="9" t="inlineStr">
        <is>
          <t>1405/08/10</t>
        </is>
      </c>
      <c r="I52" s="9" t="n">
        <v>7</v>
      </c>
      <c r="J52" s="10">
        <f>IF(G52="","",G52-I52)</f>
        <v/>
      </c>
      <c r="K52" s="9" t="inlineStr">
        <is>
          <t>بالا</t>
        </is>
      </c>
      <c r="L52" s="9" t="inlineStr">
        <is>
          <t>باز</t>
        </is>
      </c>
      <c r="M52" s="9">
        <f>IF(D52="","",IF(L52="انجام شده","انجام شده",IF(L52="لغو شده","لغو شده",IF(G52&lt;TODAY(),"عقب‌افتاده",IF(G52=TODAY(),"امروز",IF(G52&lt;=TODAY()+7,"تا ۷ روز",IF(G52&lt;=TODAY()+15,"تا ۱۵ روز","آینده")))))))</f>
        <v/>
      </c>
      <c r="N52" s="9" t="inlineStr"/>
      <c r="O52" s="9" t="n">
        <v>0</v>
      </c>
      <c r="P52" s="10" t="n"/>
      <c r="Q52" s="9" t="inlineStr"/>
      <c r="R52" s="9" t="inlineStr">
        <is>
          <t>پیش‌فرض 1405</t>
        </is>
      </c>
      <c r="S52" s="9" t="inlineStr">
        <is>
          <t>T103</t>
        </is>
      </c>
      <c r="T52" s="9" t="inlineStr">
        <is>
          <t>بله</t>
        </is>
      </c>
    </row>
    <row r="53">
      <c r="A53" s="9" t="inlineStr">
        <is>
          <t>1405-0052</t>
        </is>
      </c>
      <c r="B53" s="9" t="inlineStr">
        <is>
          <t>موسسه شهر کتاب مرکزی</t>
        </is>
      </c>
      <c r="C53" s="9" t="inlineStr">
        <is>
          <t>گزارش</t>
        </is>
      </c>
      <c r="D53" s="9" t="inlineStr">
        <is>
          <t>تهیه گزارش مدیریت ماه مهر</t>
        </is>
      </c>
      <c r="E53" s="9" t="inlineStr">
        <is>
          <t>ماهانه</t>
        </is>
      </c>
      <c r="F53" s="9" t="inlineStr">
        <is>
          <t>مهر</t>
        </is>
      </c>
      <c r="G53" s="10" t="n">
        <v>46327</v>
      </c>
      <c r="H53" s="9" t="inlineStr">
        <is>
          <t>1405/08/10</t>
        </is>
      </c>
      <c r="I53" s="9" t="n">
        <v>5</v>
      </c>
      <c r="J53" s="10">
        <f>IF(G53="","",G53-I53)</f>
        <v/>
      </c>
      <c r="K53" s="9" t="inlineStr">
        <is>
          <t>متوسط</t>
        </is>
      </c>
      <c r="L53" s="9" t="inlineStr">
        <is>
          <t>باز</t>
        </is>
      </c>
      <c r="M53" s="9">
        <f>IF(D53="","",IF(L53="انجام شده","انجام شده",IF(L53="لغو شده","لغو شده",IF(G53&lt;TODAY(),"عقب‌افتاده",IF(G53=TODAY(),"امروز",IF(G53&lt;=TODAY()+7,"تا ۷ روز",IF(G53&lt;=TODAY()+15,"تا ۱۵ روز","آینده")))))))</f>
        <v/>
      </c>
      <c r="N53" s="9" t="inlineStr"/>
      <c r="O53" s="9" t="n">
        <v>0</v>
      </c>
      <c r="P53" s="10" t="n"/>
      <c r="Q53" s="9" t="inlineStr"/>
      <c r="R53" s="9" t="inlineStr">
        <is>
          <t>پیش‌فرض 1405</t>
        </is>
      </c>
      <c r="S53" s="9" t="inlineStr">
        <is>
          <t>T104</t>
        </is>
      </c>
      <c r="T53" s="9" t="inlineStr">
        <is>
          <t>بله</t>
        </is>
      </c>
    </row>
    <row r="54">
      <c r="A54" s="9" t="inlineStr">
        <is>
          <t>1405-0053</t>
        </is>
      </c>
      <c r="B54" s="9" t="inlineStr">
        <is>
          <t>موسسه شهر کتاب مرکزی</t>
        </is>
      </c>
      <c r="C54" s="9" t="inlineStr">
        <is>
          <t>حقوق و دستمزد</t>
        </is>
      </c>
      <c r="D54" s="9" t="inlineStr">
        <is>
          <t>محاسبه حقوق و دستمزد ماه مهر</t>
        </is>
      </c>
      <c r="E54" s="9" t="inlineStr">
        <is>
          <t>ماهانه</t>
        </is>
      </c>
      <c r="F54" s="9" t="inlineStr">
        <is>
          <t>مهر</t>
        </is>
      </c>
      <c r="G54" s="10" t="n">
        <v>46315</v>
      </c>
      <c r="H54" s="9" t="inlineStr">
        <is>
          <t>1405/07/28</t>
        </is>
      </c>
      <c r="I54" s="9" t="n">
        <v>5</v>
      </c>
      <c r="J54" s="10">
        <f>IF(G54="","",G54-I54)</f>
        <v/>
      </c>
      <c r="K54" s="9" t="inlineStr">
        <is>
          <t>بالا</t>
        </is>
      </c>
      <c r="L54" s="9" t="inlineStr">
        <is>
          <t>باز</t>
        </is>
      </c>
      <c r="M54" s="9">
        <f>IF(D54="","",IF(L54="انجام شده","انجام شده",IF(L54="لغو شده","لغو شده",IF(G54&lt;TODAY(),"عقب‌افتاده",IF(G54=TODAY(),"امروز",IF(G54&lt;=TODAY()+7,"تا ۷ روز",IF(G54&lt;=TODAY()+15,"تا ۱۵ روز","آینده")))))))</f>
        <v/>
      </c>
      <c r="N54" s="9" t="inlineStr"/>
      <c r="O54" s="9" t="n">
        <v>0</v>
      </c>
      <c r="P54" s="10" t="n"/>
      <c r="Q54" s="9" t="inlineStr"/>
      <c r="R54" s="9" t="inlineStr">
        <is>
          <t>پیش‌فرض 1405</t>
        </is>
      </c>
      <c r="S54" s="9" t="inlineStr">
        <is>
          <t>T105</t>
        </is>
      </c>
      <c r="T54" s="9" t="inlineStr">
        <is>
          <t>بله</t>
        </is>
      </c>
    </row>
    <row r="55">
      <c r="A55" s="9" t="inlineStr">
        <is>
          <t>1405-0054</t>
        </is>
      </c>
      <c r="B55" s="9" t="inlineStr">
        <is>
          <t>موسسه شهر کتاب مرکزی</t>
        </is>
      </c>
      <c r="C55" s="9" t="inlineStr">
        <is>
          <t>حقوق و دستمزد</t>
        </is>
      </c>
      <c r="D55" s="9" t="inlineStr">
        <is>
          <t>ارسال/پرداخت لیست بیمه ماه مهر</t>
        </is>
      </c>
      <c r="E55" s="9" t="inlineStr">
        <is>
          <t>ماهانه</t>
        </is>
      </c>
      <c r="F55" s="9" t="inlineStr">
        <is>
          <t>مهر</t>
        </is>
      </c>
      <c r="G55" s="10" t="n">
        <v>46347</v>
      </c>
      <c r="H55" s="9" t="inlineStr">
        <is>
          <t>1405/08/30</t>
        </is>
      </c>
      <c r="I55" s="9" t="n">
        <v>7</v>
      </c>
      <c r="J55" s="10">
        <f>IF(G55="","",G55-I55)</f>
        <v/>
      </c>
      <c r="K55" s="9" t="inlineStr">
        <is>
          <t>خیلی بالا</t>
        </is>
      </c>
      <c r="L55" s="9" t="inlineStr">
        <is>
          <t>باز</t>
        </is>
      </c>
      <c r="M55" s="9">
        <f>IF(D55="","",IF(L55="انجام شده","انجام شده",IF(L55="لغو شده","لغو شده",IF(G55&lt;TODAY(),"عقب‌افتاده",IF(G55=TODAY(),"امروز",IF(G55&lt;=TODAY()+7,"تا ۷ روز",IF(G55&lt;=TODAY()+15,"تا ۱۵ روز","آینده")))))))</f>
        <v/>
      </c>
      <c r="N55" s="9" t="inlineStr"/>
      <c r="O55" s="9" t="n">
        <v>0</v>
      </c>
      <c r="P55" s="10" t="n"/>
      <c r="Q55" s="9" t="inlineStr"/>
      <c r="R55" s="9" t="inlineStr">
        <is>
          <t>پیش‌فرض 1405</t>
        </is>
      </c>
      <c r="S55" s="9" t="inlineStr">
        <is>
          <t>T106</t>
        </is>
      </c>
      <c r="T55" s="9" t="inlineStr">
        <is>
          <t>بله</t>
        </is>
      </c>
    </row>
    <row r="56">
      <c r="A56" s="9" t="inlineStr">
        <is>
          <t>1405-0055</t>
        </is>
      </c>
      <c r="B56" s="9" t="inlineStr">
        <is>
          <t>موسسه شهر کتاب مرکزی</t>
        </is>
      </c>
      <c r="C56" s="9" t="inlineStr">
        <is>
          <t>حقوق و دستمزد</t>
        </is>
      </c>
      <c r="D56" s="9" t="inlineStr">
        <is>
          <t>ارسال/پرداخت مالیات حقوق ماه مهر</t>
        </is>
      </c>
      <c r="E56" s="9" t="inlineStr">
        <is>
          <t>ماهانه</t>
        </is>
      </c>
      <c r="F56" s="9" t="inlineStr">
        <is>
          <t>مهر</t>
        </is>
      </c>
      <c r="G56" s="10" t="n">
        <v>46347</v>
      </c>
      <c r="H56" s="9" t="inlineStr">
        <is>
          <t>1405/08/30</t>
        </is>
      </c>
      <c r="I56" s="9" t="n">
        <v>7</v>
      </c>
      <c r="J56" s="10">
        <f>IF(G56="","",G56-I56)</f>
        <v/>
      </c>
      <c r="K56" s="9" t="inlineStr">
        <is>
          <t>خیلی بالا</t>
        </is>
      </c>
      <c r="L56" s="9" t="inlineStr">
        <is>
          <t>باز</t>
        </is>
      </c>
      <c r="M56" s="9">
        <f>IF(D56="","",IF(L56="انجام شده","انجام شده",IF(L56="لغو شده","لغو شده",IF(G56&lt;TODAY(),"عقب‌افتاده",IF(G56=TODAY(),"امروز",IF(G56&lt;=TODAY()+7,"تا ۷ روز",IF(G56&lt;=TODAY()+15,"تا ۱۵ روز","آینده")))))))</f>
        <v/>
      </c>
      <c r="N56" s="9" t="inlineStr"/>
      <c r="O56" s="9" t="n">
        <v>0</v>
      </c>
      <c r="P56" s="10" t="n"/>
      <c r="Q56" s="9" t="inlineStr"/>
      <c r="R56" s="9" t="inlineStr">
        <is>
          <t>پیش‌فرض 1405</t>
        </is>
      </c>
      <c r="S56" s="9" t="inlineStr">
        <is>
          <t>T107</t>
        </is>
      </c>
      <c r="T56" s="9" t="inlineStr">
        <is>
          <t>بله</t>
        </is>
      </c>
    </row>
    <row r="57">
      <c r="A57" s="9" t="inlineStr">
        <is>
          <t>1405-0056</t>
        </is>
      </c>
      <c r="B57" s="9" t="inlineStr">
        <is>
          <t>موسسه شهر کتاب مرکزی</t>
        </is>
      </c>
      <c r="C57" s="9" t="inlineStr">
        <is>
          <t>بایگانی</t>
        </is>
      </c>
      <c r="D57" s="9" t="inlineStr">
        <is>
          <t>بایگانی مدارک و اسناد ماه مهر</t>
        </is>
      </c>
      <c r="E57" s="9" t="inlineStr">
        <is>
          <t>ماهانه</t>
        </is>
      </c>
      <c r="F57" s="9" t="inlineStr">
        <is>
          <t>مهر</t>
        </is>
      </c>
      <c r="G57" s="10" t="n">
        <v>46332</v>
      </c>
      <c r="H57" s="9" t="inlineStr">
        <is>
          <t>1405/08/15</t>
        </is>
      </c>
      <c r="I57" s="9" t="n">
        <v>3</v>
      </c>
      <c r="J57" s="10">
        <f>IF(G57="","",G57-I57)</f>
        <v/>
      </c>
      <c r="K57" s="9" t="inlineStr">
        <is>
          <t>متوسط</t>
        </is>
      </c>
      <c r="L57" s="9" t="inlineStr">
        <is>
          <t>باز</t>
        </is>
      </c>
      <c r="M57" s="9">
        <f>IF(D57="","",IF(L57="انجام شده","انجام شده",IF(L57="لغو شده","لغو شده",IF(G57&lt;TODAY(),"عقب‌افتاده",IF(G57=TODAY(),"امروز",IF(G57&lt;=TODAY()+7,"تا ۷ روز",IF(G57&lt;=TODAY()+15,"تا ۱۵ روز","آینده")))))))</f>
        <v/>
      </c>
      <c r="N57" s="9" t="inlineStr"/>
      <c r="O57" s="9" t="n">
        <v>0</v>
      </c>
      <c r="P57" s="10" t="n"/>
      <c r="Q57" s="9" t="inlineStr"/>
      <c r="R57" s="9" t="inlineStr">
        <is>
          <t>پیش‌فرض 1405</t>
        </is>
      </c>
      <c r="S57" s="9" t="inlineStr">
        <is>
          <t>T108</t>
        </is>
      </c>
      <c r="T57" s="9" t="inlineStr">
        <is>
          <t>بله</t>
        </is>
      </c>
    </row>
    <row r="58">
      <c r="A58" s="9" t="inlineStr">
        <is>
          <t>1405-0057</t>
        </is>
      </c>
      <c r="B58" s="9" t="inlineStr">
        <is>
          <t>موسسه شهر کتاب مرکزی</t>
        </is>
      </c>
      <c r="C58" s="9" t="inlineStr">
        <is>
          <t>پایان ماه</t>
        </is>
      </c>
      <c r="D58" s="9" t="inlineStr">
        <is>
          <t>مغایرت‌گیری بانکی ماه آبان</t>
        </is>
      </c>
      <c r="E58" s="9" t="inlineStr">
        <is>
          <t>ماهانه</t>
        </is>
      </c>
      <c r="F58" s="9" t="inlineStr">
        <is>
          <t>آبان</t>
        </is>
      </c>
      <c r="G58" s="10" t="n">
        <v>46352</v>
      </c>
      <c r="H58" s="9" t="inlineStr">
        <is>
          <t>1405/09/05</t>
        </is>
      </c>
      <c r="I58" s="9" t="n">
        <v>5</v>
      </c>
      <c r="J58" s="10">
        <f>IF(G58="","",G58-I58)</f>
        <v/>
      </c>
      <c r="K58" s="9" t="inlineStr">
        <is>
          <t>بالا</t>
        </is>
      </c>
      <c r="L58" s="9" t="inlineStr">
        <is>
          <t>باز</t>
        </is>
      </c>
      <c r="M58" s="9">
        <f>IF(D58="","",IF(L58="انجام شده","انجام شده",IF(L58="لغو شده","لغو شده",IF(G58&lt;TODAY(),"عقب‌افتاده",IF(G58=TODAY(),"امروز",IF(G58&lt;=TODAY()+7,"تا ۷ روز",IF(G58&lt;=TODAY()+15,"تا ۱۵ روز","آینده")))))))</f>
        <v/>
      </c>
      <c r="N58" s="9" t="inlineStr"/>
      <c r="O58" s="9" t="n">
        <v>0</v>
      </c>
      <c r="P58" s="10" t="n"/>
      <c r="Q58" s="9" t="inlineStr"/>
      <c r="R58" s="9" t="inlineStr">
        <is>
          <t>پیش‌فرض 1405</t>
        </is>
      </c>
      <c r="S58" s="9" t="inlineStr">
        <is>
          <t>T101</t>
        </is>
      </c>
      <c r="T58" s="9" t="inlineStr">
        <is>
          <t>بله</t>
        </is>
      </c>
    </row>
    <row r="59">
      <c r="A59" s="9" t="inlineStr">
        <is>
          <t>1405-0058</t>
        </is>
      </c>
      <c r="B59" s="9" t="inlineStr">
        <is>
          <t>موسسه شهر کتاب مرکزی</t>
        </is>
      </c>
      <c r="C59" s="9" t="inlineStr">
        <is>
          <t>پایان ماه</t>
        </is>
      </c>
      <c r="D59" s="9" t="inlineStr">
        <is>
          <t>کنترل نهایی اسناد ماه آبان</t>
        </is>
      </c>
      <c r="E59" s="9" t="inlineStr">
        <is>
          <t>ماهانه</t>
        </is>
      </c>
      <c r="F59" s="9" t="inlineStr">
        <is>
          <t>آبان</t>
        </is>
      </c>
      <c r="G59" s="10" t="n">
        <v>46354</v>
      </c>
      <c r="H59" s="9" t="inlineStr">
        <is>
          <t>1405/09/07</t>
        </is>
      </c>
      <c r="I59" s="9" t="n">
        <v>5</v>
      </c>
      <c r="J59" s="10">
        <f>IF(G59="","",G59-I59)</f>
        <v/>
      </c>
      <c r="K59" s="9" t="inlineStr">
        <is>
          <t>بالا</t>
        </is>
      </c>
      <c r="L59" s="9" t="inlineStr">
        <is>
          <t>باز</t>
        </is>
      </c>
      <c r="M59" s="9">
        <f>IF(D59="","",IF(L59="انجام شده","انجام شده",IF(L59="لغو شده","لغو شده",IF(G59&lt;TODAY(),"عقب‌افتاده",IF(G59=TODAY(),"امروز",IF(G59&lt;=TODAY()+7,"تا ۷ روز",IF(G59&lt;=TODAY()+15,"تا ۱۵ روز","آینده")))))))</f>
        <v/>
      </c>
      <c r="N59" s="9" t="inlineStr"/>
      <c r="O59" s="9" t="n">
        <v>0</v>
      </c>
      <c r="P59" s="10" t="n"/>
      <c r="Q59" s="9" t="inlineStr"/>
      <c r="R59" s="9" t="inlineStr">
        <is>
          <t>پیش‌فرض 1405</t>
        </is>
      </c>
      <c r="S59" s="9" t="inlineStr">
        <is>
          <t>T102</t>
        </is>
      </c>
      <c r="T59" s="9" t="inlineStr">
        <is>
          <t>بله</t>
        </is>
      </c>
    </row>
    <row r="60">
      <c r="A60" s="9" t="inlineStr">
        <is>
          <t>1405-0059</t>
        </is>
      </c>
      <c r="B60" s="9" t="inlineStr">
        <is>
          <t>موسسه شهر کتاب مرکزی</t>
        </is>
      </c>
      <c r="C60" s="9" t="inlineStr">
        <is>
          <t>پایان ماه</t>
        </is>
      </c>
      <c r="D60" s="9" t="inlineStr">
        <is>
          <t>بستن حساب‌های ماه آبان و کنترل مانده‌ها</t>
        </is>
      </c>
      <c r="E60" s="9" t="inlineStr">
        <is>
          <t>ماهانه</t>
        </is>
      </c>
      <c r="F60" s="9" t="inlineStr">
        <is>
          <t>آبان</t>
        </is>
      </c>
      <c r="G60" s="10" t="n">
        <v>46357</v>
      </c>
      <c r="H60" s="9" t="inlineStr">
        <is>
          <t>1405/09/10</t>
        </is>
      </c>
      <c r="I60" s="9" t="n">
        <v>7</v>
      </c>
      <c r="J60" s="10">
        <f>IF(G60="","",G60-I60)</f>
        <v/>
      </c>
      <c r="K60" s="9" t="inlineStr">
        <is>
          <t>بالا</t>
        </is>
      </c>
      <c r="L60" s="9" t="inlineStr">
        <is>
          <t>باز</t>
        </is>
      </c>
      <c r="M60" s="9">
        <f>IF(D60="","",IF(L60="انجام شده","انجام شده",IF(L60="لغو شده","لغو شده",IF(G60&lt;TODAY(),"عقب‌افتاده",IF(G60=TODAY(),"امروز",IF(G60&lt;=TODAY()+7,"تا ۷ روز",IF(G60&lt;=TODAY()+15,"تا ۱۵ روز","آینده")))))))</f>
        <v/>
      </c>
      <c r="N60" s="9" t="inlineStr"/>
      <c r="O60" s="9" t="n">
        <v>0</v>
      </c>
      <c r="P60" s="10" t="n"/>
      <c r="Q60" s="9" t="inlineStr"/>
      <c r="R60" s="9" t="inlineStr">
        <is>
          <t>پیش‌فرض 1405</t>
        </is>
      </c>
      <c r="S60" s="9" t="inlineStr">
        <is>
          <t>T103</t>
        </is>
      </c>
      <c r="T60" s="9" t="inlineStr">
        <is>
          <t>بله</t>
        </is>
      </c>
    </row>
    <row r="61">
      <c r="A61" s="9" t="inlineStr">
        <is>
          <t>1405-0060</t>
        </is>
      </c>
      <c r="B61" s="9" t="inlineStr">
        <is>
          <t>موسسه شهر کتاب مرکزی</t>
        </is>
      </c>
      <c r="C61" s="9" t="inlineStr">
        <is>
          <t>گزارش</t>
        </is>
      </c>
      <c r="D61" s="9" t="inlineStr">
        <is>
          <t>تهیه گزارش مدیریت ماه آبان</t>
        </is>
      </c>
      <c r="E61" s="9" t="inlineStr">
        <is>
          <t>ماهانه</t>
        </is>
      </c>
      <c r="F61" s="9" t="inlineStr">
        <is>
          <t>آبان</t>
        </is>
      </c>
      <c r="G61" s="10" t="n">
        <v>46357</v>
      </c>
      <c r="H61" s="9" t="inlineStr">
        <is>
          <t>1405/09/10</t>
        </is>
      </c>
      <c r="I61" s="9" t="n">
        <v>5</v>
      </c>
      <c r="J61" s="10">
        <f>IF(G61="","",G61-I61)</f>
        <v/>
      </c>
      <c r="K61" s="9" t="inlineStr">
        <is>
          <t>متوسط</t>
        </is>
      </c>
      <c r="L61" s="9" t="inlineStr">
        <is>
          <t>باز</t>
        </is>
      </c>
      <c r="M61" s="9">
        <f>IF(D61="","",IF(L61="انجام شده","انجام شده",IF(L61="لغو شده","لغو شده",IF(G61&lt;TODAY(),"عقب‌افتاده",IF(G61=TODAY(),"امروز",IF(G61&lt;=TODAY()+7,"تا ۷ روز",IF(G61&lt;=TODAY()+15,"تا ۱۵ روز","آینده")))))))</f>
        <v/>
      </c>
      <c r="N61" s="9" t="inlineStr"/>
      <c r="O61" s="9" t="n">
        <v>0</v>
      </c>
      <c r="P61" s="10" t="n"/>
      <c r="Q61" s="9" t="inlineStr"/>
      <c r="R61" s="9" t="inlineStr">
        <is>
          <t>پیش‌فرض 1405</t>
        </is>
      </c>
      <c r="S61" s="9" t="inlineStr">
        <is>
          <t>T104</t>
        </is>
      </c>
      <c r="T61" s="9" t="inlineStr">
        <is>
          <t>بله</t>
        </is>
      </c>
    </row>
    <row r="62">
      <c r="A62" s="9" t="inlineStr">
        <is>
          <t>1405-0061</t>
        </is>
      </c>
      <c r="B62" s="9" t="inlineStr">
        <is>
          <t>موسسه شهر کتاب مرکزی</t>
        </is>
      </c>
      <c r="C62" s="9" t="inlineStr">
        <is>
          <t>حقوق و دستمزد</t>
        </is>
      </c>
      <c r="D62" s="9" t="inlineStr">
        <is>
          <t>محاسبه حقوق و دستمزد ماه آبان</t>
        </is>
      </c>
      <c r="E62" s="9" t="inlineStr">
        <is>
          <t>ماهانه</t>
        </is>
      </c>
      <c r="F62" s="9" t="inlineStr">
        <is>
          <t>آبان</t>
        </is>
      </c>
      <c r="G62" s="10" t="n">
        <v>46345</v>
      </c>
      <c r="H62" s="9" t="inlineStr">
        <is>
          <t>1405/08/28</t>
        </is>
      </c>
      <c r="I62" s="9" t="n">
        <v>5</v>
      </c>
      <c r="J62" s="10">
        <f>IF(G62="","",G62-I62)</f>
        <v/>
      </c>
      <c r="K62" s="9" t="inlineStr">
        <is>
          <t>بالا</t>
        </is>
      </c>
      <c r="L62" s="9" t="inlineStr">
        <is>
          <t>باز</t>
        </is>
      </c>
      <c r="M62" s="9">
        <f>IF(D62="","",IF(L62="انجام شده","انجام شده",IF(L62="لغو شده","لغو شده",IF(G62&lt;TODAY(),"عقب‌افتاده",IF(G62=TODAY(),"امروز",IF(G62&lt;=TODAY()+7,"تا ۷ روز",IF(G62&lt;=TODAY()+15,"تا ۱۵ روز","آینده")))))))</f>
        <v/>
      </c>
      <c r="N62" s="9" t="inlineStr"/>
      <c r="O62" s="9" t="n">
        <v>0</v>
      </c>
      <c r="P62" s="10" t="n"/>
      <c r="Q62" s="9" t="inlineStr"/>
      <c r="R62" s="9" t="inlineStr">
        <is>
          <t>پیش‌فرض 1405</t>
        </is>
      </c>
      <c r="S62" s="9" t="inlineStr">
        <is>
          <t>T105</t>
        </is>
      </c>
      <c r="T62" s="9" t="inlineStr">
        <is>
          <t>بله</t>
        </is>
      </c>
    </row>
    <row r="63">
      <c r="A63" s="9" t="inlineStr">
        <is>
          <t>1405-0062</t>
        </is>
      </c>
      <c r="B63" s="9" t="inlineStr">
        <is>
          <t>موسسه شهر کتاب مرکزی</t>
        </is>
      </c>
      <c r="C63" s="9" t="inlineStr">
        <is>
          <t>حقوق و دستمزد</t>
        </is>
      </c>
      <c r="D63" s="9" t="inlineStr">
        <is>
          <t>ارسال/پرداخت لیست بیمه ماه آبان</t>
        </is>
      </c>
      <c r="E63" s="9" t="inlineStr">
        <is>
          <t>ماهانه</t>
        </is>
      </c>
      <c r="F63" s="9" t="inlineStr">
        <is>
          <t>آبان</t>
        </is>
      </c>
      <c r="G63" s="10" t="n">
        <v>46377</v>
      </c>
      <c r="H63" s="9" t="inlineStr">
        <is>
          <t>1405/09/30</t>
        </is>
      </c>
      <c r="I63" s="9" t="n">
        <v>7</v>
      </c>
      <c r="J63" s="10">
        <f>IF(G63="","",G63-I63)</f>
        <v/>
      </c>
      <c r="K63" s="9" t="inlineStr">
        <is>
          <t>خیلی بالا</t>
        </is>
      </c>
      <c r="L63" s="9" t="inlineStr">
        <is>
          <t>باز</t>
        </is>
      </c>
      <c r="M63" s="9">
        <f>IF(D63="","",IF(L63="انجام شده","انجام شده",IF(L63="لغو شده","لغو شده",IF(G63&lt;TODAY(),"عقب‌افتاده",IF(G63=TODAY(),"امروز",IF(G63&lt;=TODAY()+7,"تا ۷ روز",IF(G63&lt;=TODAY()+15,"تا ۱۵ روز","آینده")))))))</f>
        <v/>
      </c>
      <c r="N63" s="9" t="inlineStr"/>
      <c r="O63" s="9" t="n">
        <v>0</v>
      </c>
      <c r="P63" s="10" t="n"/>
      <c r="Q63" s="9" t="inlineStr"/>
      <c r="R63" s="9" t="inlineStr">
        <is>
          <t>پیش‌فرض 1405</t>
        </is>
      </c>
      <c r="S63" s="9" t="inlineStr">
        <is>
          <t>T106</t>
        </is>
      </c>
      <c r="T63" s="9" t="inlineStr">
        <is>
          <t>بله</t>
        </is>
      </c>
    </row>
    <row r="64">
      <c r="A64" s="9" t="inlineStr">
        <is>
          <t>1405-0063</t>
        </is>
      </c>
      <c r="B64" s="9" t="inlineStr">
        <is>
          <t>موسسه شهر کتاب مرکزی</t>
        </is>
      </c>
      <c r="C64" s="9" t="inlineStr">
        <is>
          <t>حقوق و دستمزد</t>
        </is>
      </c>
      <c r="D64" s="9" t="inlineStr">
        <is>
          <t>ارسال/پرداخت مالیات حقوق ماه آبان</t>
        </is>
      </c>
      <c r="E64" s="9" t="inlineStr">
        <is>
          <t>ماهانه</t>
        </is>
      </c>
      <c r="F64" s="9" t="inlineStr">
        <is>
          <t>آبان</t>
        </is>
      </c>
      <c r="G64" s="10" t="n">
        <v>46377</v>
      </c>
      <c r="H64" s="9" t="inlineStr">
        <is>
          <t>1405/09/30</t>
        </is>
      </c>
      <c r="I64" s="9" t="n">
        <v>7</v>
      </c>
      <c r="J64" s="10">
        <f>IF(G64="","",G64-I64)</f>
        <v/>
      </c>
      <c r="K64" s="9" t="inlineStr">
        <is>
          <t>خیلی بالا</t>
        </is>
      </c>
      <c r="L64" s="9" t="inlineStr">
        <is>
          <t>باز</t>
        </is>
      </c>
      <c r="M64" s="9">
        <f>IF(D64="","",IF(L64="انجام شده","انجام شده",IF(L64="لغو شده","لغو شده",IF(G64&lt;TODAY(),"عقب‌افتاده",IF(G64=TODAY(),"امروز",IF(G64&lt;=TODAY()+7,"تا ۷ روز",IF(G64&lt;=TODAY()+15,"تا ۱۵ روز","آینده")))))))</f>
        <v/>
      </c>
      <c r="N64" s="9" t="inlineStr"/>
      <c r="O64" s="9" t="n">
        <v>0</v>
      </c>
      <c r="P64" s="10" t="n"/>
      <c r="Q64" s="9" t="inlineStr"/>
      <c r="R64" s="9" t="inlineStr">
        <is>
          <t>پیش‌فرض 1405</t>
        </is>
      </c>
      <c r="S64" s="9" t="inlineStr">
        <is>
          <t>T107</t>
        </is>
      </c>
      <c r="T64" s="9" t="inlineStr">
        <is>
          <t>بله</t>
        </is>
      </c>
    </row>
    <row r="65">
      <c r="A65" s="9" t="inlineStr">
        <is>
          <t>1405-0064</t>
        </is>
      </c>
      <c r="B65" s="9" t="inlineStr">
        <is>
          <t>موسسه شهر کتاب مرکزی</t>
        </is>
      </c>
      <c r="C65" s="9" t="inlineStr">
        <is>
          <t>بایگانی</t>
        </is>
      </c>
      <c r="D65" s="9" t="inlineStr">
        <is>
          <t>بایگانی مدارک و اسناد ماه آبان</t>
        </is>
      </c>
      <c r="E65" s="9" t="inlineStr">
        <is>
          <t>ماهانه</t>
        </is>
      </c>
      <c r="F65" s="9" t="inlineStr">
        <is>
          <t>آبان</t>
        </is>
      </c>
      <c r="G65" s="10" t="n">
        <v>46362</v>
      </c>
      <c r="H65" s="9" t="inlineStr">
        <is>
          <t>1405/09/15</t>
        </is>
      </c>
      <c r="I65" s="9" t="n">
        <v>3</v>
      </c>
      <c r="J65" s="10">
        <f>IF(G65="","",G65-I65)</f>
        <v/>
      </c>
      <c r="K65" s="9" t="inlineStr">
        <is>
          <t>متوسط</t>
        </is>
      </c>
      <c r="L65" s="9" t="inlineStr">
        <is>
          <t>باز</t>
        </is>
      </c>
      <c r="M65" s="9">
        <f>IF(D65="","",IF(L65="انجام شده","انجام شده",IF(L65="لغو شده","لغو شده",IF(G65&lt;TODAY(),"عقب‌افتاده",IF(G65=TODAY(),"امروز",IF(G65&lt;=TODAY()+7,"تا ۷ روز",IF(G65&lt;=TODAY()+15,"تا ۱۵ روز","آینده")))))))</f>
        <v/>
      </c>
      <c r="N65" s="9" t="inlineStr"/>
      <c r="O65" s="9" t="n">
        <v>0</v>
      </c>
      <c r="P65" s="10" t="n"/>
      <c r="Q65" s="9" t="inlineStr"/>
      <c r="R65" s="9" t="inlineStr">
        <is>
          <t>پیش‌فرض 1405</t>
        </is>
      </c>
      <c r="S65" s="9" t="inlineStr">
        <is>
          <t>T108</t>
        </is>
      </c>
      <c r="T65" s="9" t="inlineStr">
        <is>
          <t>بله</t>
        </is>
      </c>
    </row>
    <row r="66">
      <c r="A66" s="9" t="inlineStr">
        <is>
          <t>1405-0065</t>
        </is>
      </c>
      <c r="B66" s="9" t="inlineStr">
        <is>
          <t>موسسه شهر کتاب مرکزی</t>
        </is>
      </c>
      <c r="C66" s="9" t="inlineStr">
        <is>
          <t>پایان ماه</t>
        </is>
      </c>
      <c r="D66" s="9" t="inlineStr">
        <is>
          <t>مغایرت‌گیری بانکی ماه آذر</t>
        </is>
      </c>
      <c r="E66" s="9" t="inlineStr">
        <is>
          <t>ماهانه</t>
        </is>
      </c>
      <c r="F66" s="9" t="inlineStr">
        <is>
          <t>آذر</t>
        </is>
      </c>
      <c r="G66" s="10" t="n">
        <v>46382</v>
      </c>
      <c r="H66" s="9" t="inlineStr">
        <is>
          <t>1405/10/05</t>
        </is>
      </c>
      <c r="I66" s="9" t="n">
        <v>5</v>
      </c>
      <c r="J66" s="10">
        <f>IF(G66="","",G66-I66)</f>
        <v/>
      </c>
      <c r="K66" s="9" t="inlineStr">
        <is>
          <t>بالا</t>
        </is>
      </c>
      <c r="L66" s="9" t="inlineStr">
        <is>
          <t>باز</t>
        </is>
      </c>
      <c r="M66" s="9">
        <f>IF(D66="","",IF(L66="انجام شده","انجام شده",IF(L66="لغو شده","لغو شده",IF(G66&lt;TODAY(),"عقب‌افتاده",IF(G66=TODAY(),"امروز",IF(G66&lt;=TODAY()+7,"تا ۷ روز",IF(G66&lt;=TODAY()+15,"تا ۱۵ روز","آینده")))))))</f>
        <v/>
      </c>
      <c r="N66" s="9" t="inlineStr"/>
      <c r="O66" s="9" t="n">
        <v>0</v>
      </c>
      <c r="P66" s="10" t="n"/>
      <c r="Q66" s="9" t="inlineStr"/>
      <c r="R66" s="9" t="inlineStr">
        <is>
          <t>پیش‌فرض 1405</t>
        </is>
      </c>
      <c r="S66" s="9" t="inlineStr">
        <is>
          <t>T101</t>
        </is>
      </c>
      <c r="T66" s="9" t="inlineStr">
        <is>
          <t>بله</t>
        </is>
      </c>
    </row>
    <row r="67">
      <c r="A67" s="9" t="inlineStr">
        <is>
          <t>1405-0066</t>
        </is>
      </c>
      <c r="B67" s="9" t="inlineStr">
        <is>
          <t>موسسه شهر کتاب مرکزی</t>
        </is>
      </c>
      <c r="C67" s="9" t="inlineStr">
        <is>
          <t>پایان ماه</t>
        </is>
      </c>
      <c r="D67" s="9" t="inlineStr">
        <is>
          <t>کنترل نهایی اسناد ماه آذر</t>
        </is>
      </c>
      <c r="E67" s="9" t="inlineStr">
        <is>
          <t>ماهانه</t>
        </is>
      </c>
      <c r="F67" s="9" t="inlineStr">
        <is>
          <t>آذر</t>
        </is>
      </c>
      <c r="G67" s="10" t="n">
        <v>46384</v>
      </c>
      <c r="H67" s="9" t="inlineStr">
        <is>
          <t>1405/10/07</t>
        </is>
      </c>
      <c r="I67" s="9" t="n">
        <v>5</v>
      </c>
      <c r="J67" s="10">
        <f>IF(G67="","",G67-I67)</f>
        <v/>
      </c>
      <c r="K67" s="9" t="inlineStr">
        <is>
          <t>بالا</t>
        </is>
      </c>
      <c r="L67" s="9" t="inlineStr">
        <is>
          <t>باز</t>
        </is>
      </c>
      <c r="M67" s="9">
        <f>IF(D67="","",IF(L67="انجام شده","انجام شده",IF(L67="لغو شده","لغو شده",IF(G67&lt;TODAY(),"عقب‌افتاده",IF(G67=TODAY(),"امروز",IF(G67&lt;=TODAY()+7,"تا ۷ روز",IF(G67&lt;=TODAY()+15,"تا ۱۵ روز","آینده")))))))</f>
        <v/>
      </c>
      <c r="N67" s="9" t="inlineStr"/>
      <c r="O67" s="9" t="n">
        <v>0</v>
      </c>
      <c r="P67" s="10" t="n"/>
      <c r="Q67" s="9" t="inlineStr"/>
      <c r="R67" s="9" t="inlineStr">
        <is>
          <t>پیش‌فرض 1405</t>
        </is>
      </c>
      <c r="S67" s="9" t="inlineStr">
        <is>
          <t>T102</t>
        </is>
      </c>
      <c r="T67" s="9" t="inlineStr">
        <is>
          <t>بله</t>
        </is>
      </c>
    </row>
    <row r="68">
      <c r="A68" s="9" t="inlineStr">
        <is>
          <t>1405-0067</t>
        </is>
      </c>
      <c r="B68" s="9" t="inlineStr">
        <is>
          <t>موسسه شهر کتاب مرکزی</t>
        </is>
      </c>
      <c r="C68" s="9" t="inlineStr">
        <is>
          <t>پایان ماه</t>
        </is>
      </c>
      <c r="D68" s="9" t="inlineStr">
        <is>
          <t>بستن حساب‌های ماه آذر و کنترل مانده‌ها</t>
        </is>
      </c>
      <c r="E68" s="9" t="inlineStr">
        <is>
          <t>ماهانه</t>
        </is>
      </c>
      <c r="F68" s="9" t="inlineStr">
        <is>
          <t>آذر</t>
        </is>
      </c>
      <c r="G68" s="10" t="n">
        <v>46387</v>
      </c>
      <c r="H68" s="9" t="inlineStr">
        <is>
          <t>1405/10/10</t>
        </is>
      </c>
      <c r="I68" s="9" t="n">
        <v>7</v>
      </c>
      <c r="J68" s="10">
        <f>IF(G68="","",G68-I68)</f>
        <v/>
      </c>
      <c r="K68" s="9" t="inlineStr">
        <is>
          <t>بالا</t>
        </is>
      </c>
      <c r="L68" s="9" t="inlineStr">
        <is>
          <t>باز</t>
        </is>
      </c>
      <c r="M68" s="9">
        <f>IF(D68="","",IF(L68="انجام شده","انجام شده",IF(L68="لغو شده","لغو شده",IF(G68&lt;TODAY(),"عقب‌افتاده",IF(G68=TODAY(),"امروز",IF(G68&lt;=TODAY()+7,"تا ۷ روز",IF(G68&lt;=TODAY()+15,"تا ۱۵ روز","آینده")))))))</f>
        <v/>
      </c>
      <c r="N68" s="9" t="inlineStr"/>
      <c r="O68" s="9" t="n">
        <v>0</v>
      </c>
      <c r="P68" s="10" t="n"/>
      <c r="Q68" s="9" t="inlineStr"/>
      <c r="R68" s="9" t="inlineStr">
        <is>
          <t>پیش‌فرض 1405</t>
        </is>
      </c>
      <c r="S68" s="9" t="inlineStr">
        <is>
          <t>T103</t>
        </is>
      </c>
      <c r="T68" s="9" t="inlineStr">
        <is>
          <t>بله</t>
        </is>
      </c>
    </row>
    <row r="69">
      <c r="A69" s="9" t="inlineStr">
        <is>
          <t>1405-0068</t>
        </is>
      </c>
      <c r="B69" s="9" t="inlineStr">
        <is>
          <t>موسسه شهر کتاب مرکزی</t>
        </is>
      </c>
      <c r="C69" s="9" t="inlineStr">
        <is>
          <t>گزارش</t>
        </is>
      </c>
      <c r="D69" s="9" t="inlineStr">
        <is>
          <t>تهیه گزارش مدیریت ماه آذر</t>
        </is>
      </c>
      <c r="E69" s="9" t="inlineStr">
        <is>
          <t>ماهانه</t>
        </is>
      </c>
      <c r="F69" s="9" t="inlineStr">
        <is>
          <t>آذر</t>
        </is>
      </c>
      <c r="G69" s="10" t="n">
        <v>46387</v>
      </c>
      <c r="H69" s="9" t="inlineStr">
        <is>
          <t>1405/10/10</t>
        </is>
      </c>
      <c r="I69" s="9" t="n">
        <v>5</v>
      </c>
      <c r="J69" s="10">
        <f>IF(G69="","",G69-I69)</f>
        <v/>
      </c>
      <c r="K69" s="9" t="inlineStr">
        <is>
          <t>متوسط</t>
        </is>
      </c>
      <c r="L69" s="9" t="inlineStr">
        <is>
          <t>باز</t>
        </is>
      </c>
      <c r="M69" s="9">
        <f>IF(D69="","",IF(L69="انجام شده","انجام شده",IF(L69="لغو شده","لغو شده",IF(G69&lt;TODAY(),"عقب‌افتاده",IF(G69=TODAY(),"امروز",IF(G69&lt;=TODAY()+7,"تا ۷ روز",IF(G69&lt;=TODAY()+15,"تا ۱۵ روز","آینده")))))))</f>
        <v/>
      </c>
      <c r="N69" s="9" t="inlineStr"/>
      <c r="O69" s="9" t="n">
        <v>0</v>
      </c>
      <c r="P69" s="10" t="n"/>
      <c r="Q69" s="9" t="inlineStr"/>
      <c r="R69" s="9" t="inlineStr">
        <is>
          <t>پیش‌فرض 1405</t>
        </is>
      </c>
      <c r="S69" s="9" t="inlineStr">
        <is>
          <t>T104</t>
        </is>
      </c>
      <c r="T69" s="9" t="inlineStr">
        <is>
          <t>بله</t>
        </is>
      </c>
    </row>
    <row r="70">
      <c r="A70" s="9" t="inlineStr">
        <is>
          <t>1405-0069</t>
        </is>
      </c>
      <c r="B70" s="9" t="inlineStr">
        <is>
          <t>موسسه شهر کتاب مرکزی</t>
        </is>
      </c>
      <c r="C70" s="9" t="inlineStr">
        <is>
          <t>حقوق و دستمزد</t>
        </is>
      </c>
      <c r="D70" s="9" t="inlineStr">
        <is>
          <t>محاسبه حقوق و دستمزد ماه آذر</t>
        </is>
      </c>
      <c r="E70" s="9" t="inlineStr">
        <is>
          <t>ماهانه</t>
        </is>
      </c>
      <c r="F70" s="9" t="inlineStr">
        <is>
          <t>آذر</t>
        </is>
      </c>
      <c r="G70" s="10" t="n">
        <v>46375</v>
      </c>
      <c r="H70" s="9" t="inlineStr">
        <is>
          <t>1405/09/28</t>
        </is>
      </c>
      <c r="I70" s="9" t="n">
        <v>5</v>
      </c>
      <c r="J70" s="10">
        <f>IF(G70="","",G70-I70)</f>
        <v/>
      </c>
      <c r="K70" s="9" t="inlineStr">
        <is>
          <t>بالا</t>
        </is>
      </c>
      <c r="L70" s="9" t="inlineStr">
        <is>
          <t>باز</t>
        </is>
      </c>
      <c r="M70" s="9">
        <f>IF(D70="","",IF(L70="انجام شده","انجام شده",IF(L70="لغو شده","لغو شده",IF(G70&lt;TODAY(),"عقب‌افتاده",IF(G70=TODAY(),"امروز",IF(G70&lt;=TODAY()+7,"تا ۷ روز",IF(G70&lt;=TODAY()+15,"تا ۱۵ روز","آینده")))))))</f>
        <v/>
      </c>
      <c r="N70" s="9" t="inlineStr"/>
      <c r="O70" s="9" t="n">
        <v>0</v>
      </c>
      <c r="P70" s="10" t="n"/>
      <c r="Q70" s="9" t="inlineStr"/>
      <c r="R70" s="9" t="inlineStr">
        <is>
          <t>پیش‌فرض 1405</t>
        </is>
      </c>
      <c r="S70" s="9" t="inlineStr">
        <is>
          <t>T105</t>
        </is>
      </c>
      <c r="T70" s="9" t="inlineStr">
        <is>
          <t>بله</t>
        </is>
      </c>
    </row>
    <row r="71">
      <c r="A71" s="9" t="inlineStr">
        <is>
          <t>1405-0070</t>
        </is>
      </c>
      <c r="B71" s="9" t="inlineStr">
        <is>
          <t>موسسه شهر کتاب مرکزی</t>
        </is>
      </c>
      <c r="C71" s="9" t="inlineStr">
        <is>
          <t>حقوق و دستمزد</t>
        </is>
      </c>
      <c r="D71" s="9" t="inlineStr">
        <is>
          <t>ارسال/پرداخت لیست بیمه ماه آذر</t>
        </is>
      </c>
      <c r="E71" s="9" t="inlineStr">
        <is>
          <t>ماهانه</t>
        </is>
      </c>
      <c r="F71" s="9" t="inlineStr">
        <is>
          <t>آذر</t>
        </is>
      </c>
      <c r="G71" s="10" t="n">
        <v>46407</v>
      </c>
      <c r="H71" s="9" t="inlineStr">
        <is>
          <t>1405/10/30</t>
        </is>
      </c>
      <c r="I71" s="9" t="n">
        <v>7</v>
      </c>
      <c r="J71" s="10">
        <f>IF(G71="","",G71-I71)</f>
        <v/>
      </c>
      <c r="K71" s="9" t="inlineStr">
        <is>
          <t>خیلی بالا</t>
        </is>
      </c>
      <c r="L71" s="9" t="inlineStr">
        <is>
          <t>باز</t>
        </is>
      </c>
      <c r="M71" s="9">
        <f>IF(D71="","",IF(L71="انجام شده","انجام شده",IF(L71="لغو شده","لغو شده",IF(G71&lt;TODAY(),"عقب‌افتاده",IF(G71=TODAY(),"امروز",IF(G71&lt;=TODAY()+7,"تا ۷ روز",IF(G71&lt;=TODAY()+15,"تا ۱۵ روز","آینده")))))))</f>
        <v/>
      </c>
      <c r="N71" s="9" t="inlineStr"/>
      <c r="O71" s="9" t="n">
        <v>0</v>
      </c>
      <c r="P71" s="10" t="n"/>
      <c r="Q71" s="9" t="inlineStr"/>
      <c r="R71" s="9" t="inlineStr">
        <is>
          <t>پیش‌فرض 1405</t>
        </is>
      </c>
      <c r="S71" s="9" t="inlineStr">
        <is>
          <t>T106</t>
        </is>
      </c>
      <c r="T71" s="9" t="inlineStr">
        <is>
          <t>بله</t>
        </is>
      </c>
    </row>
    <row r="72">
      <c r="A72" s="9" t="inlineStr">
        <is>
          <t>1405-0071</t>
        </is>
      </c>
      <c r="B72" s="9" t="inlineStr">
        <is>
          <t>موسسه شهر کتاب مرکزی</t>
        </is>
      </c>
      <c r="C72" s="9" t="inlineStr">
        <is>
          <t>حقوق و دستمزد</t>
        </is>
      </c>
      <c r="D72" s="9" t="inlineStr">
        <is>
          <t>ارسال/پرداخت مالیات حقوق ماه آذر</t>
        </is>
      </c>
      <c r="E72" s="9" t="inlineStr">
        <is>
          <t>ماهانه</t>
        </is>
      </c>
      <c r="F72" s="9" t="inlineStr">
        <is>
          <t>آذر</t>
        </is>
      </c>
      <c r="G72" s="10" t="n">
        <v>46407</v>
      </c>
      <c r="H72" s="9" t="inlineStr">
        <is>
          <t>1405/10/30</t>
        </is>
      </c>
      <c r="I72" s="9" t="n">
        <v>7</v>
      </c>
      <c r="J72" s="10">
        <f>IF(G72="","",G72-I72)</f>
        <v/>
      </c>
      <c r="K72" s="9" t="inlineStr">
        <is>
          <t>خیلی بالا</t>
        </is>
      </c>
      <c r="L72" s="9" t="inlineStr">
        <is>
          <t>باز</t>
        </is>
      </c>
      <c r="M72" s="9">
        <f>IF(D72="","",IF(L72="انجام شده","انجام شده",IF(L72="لغو شده","لغو شده",IF(G72&lt;TODAY(),"عقب‌افتاده",IF(G72=TODAY(),"امروز",IF(G72&lt;=TODAY()+7,"تا ۷ روز",IF(G72&lt;=TODAY()+15,"تا ۱۵ روز","آینده")))))))</f>
        <v/>
      </c>
      <c r="N72" s="9" t="inlineStr"/>
      <c r="O72" s="9" t="n">
        <v>0</v>
      </c>
      <c r="P72" s="10" t="n"/>
      <c r="Q72" s="9" t="inlineStr"/>
      <c r="R72" s="9" t="inlineStr">
        <is>
          <t>پیش‌فرض 1405</t>
        </is>
      </c>
      <c r="S72" s="9" t="inlineStr">
        <is>
          <t>T107</t>
        </is>
      </c>
      <c r="T72" s="9" t="inlineStr">
        <is>
          <t>بله</t>
        </is>
      </c>
    </row>
    <row r="73">
      <c r="A73" s="9" t="inlineStr">
        <is>
          <t>1405-0072</t>
        </is>
      </c>
      <c r="B73" s="9" t="inlineStr">
        <is>
          <t>موسسه شهر کتاب مرکزی</t>
        </is>
      </c>
      <c r="C73" s="9" t="inlineStr">
        <is>
          <t>بایگانی</t>
        </is>
      </c>
      <c r="D73" s="9" t="inlineStr">
        <is>
          <t>بایگانی مدارک و اسناد ماه آذر</t>
        </is>
      </c>
      <c r="E73" s="9" t="inlineStr">
        <is>
          <t>ماهانه</t>
        </is>
      </c>
      <c r="F73" s="9" t="inlineStr">
        <is>
          <t>آذر</t>
        </is>
      </c>
      <c r="G73" s="10" t="n">
        <v>46392</v>
      </c>
      <c r="H73" s="9" t="inlineStr">
        <is>
          <t>1405/10/15</t>
        </is>
      </c>
      <c r="I73" s="9" t="n">
        <v>3</v>
      </c>
      <c r="J73" s="10">
        <f>IF(G73="","",G73-I73)</f>
        <v/>
      </c>
      <c r="K73" s="9" t="inlineStr">
        <is>
          <t>متوسط</t>
        </is>
      </c>
      <c r="L73" s="9" t="inlineStr">
        <is>
          <t>باز</t>
        </is>
      </c>
      <c r="M73" s="9">
        <f>IF(D73="","",IF(L73="انجام شده","انجام شده",IF(L73="لغو شده","لغو شده",IF(G73&lt;TODAY(),"عقب‌افتاده",IF(G73=TODAY(),"امروز",IF(G73&lt;=TODAY()+7,"تا ۷ روز",IF(G73&lt;=TODAY()+15,"تا ۱۵ روز","آینده")))))))</f>
        <v/>
      </c>
      <c r="N73" s="9" t="inlineStr"/>
      <c r="O73" s="9" t="n">
        <v>0</v>
      </c>
      <c r="P73" s="10" t="n"/>
      <c r="Q73" s="9" t="inlineStr"/>
      <c r="R73" s="9" t="inlineStr">
        <is>
          <t>پیش‌فرض 1405</t>
        </is>
      </c>
      <c r="S73" s="9" t="inlineStr">
        <is>
          <t>T108</t>
        </is>
      </c>
      <c r="T73" s="9" t="inlineStr">
        <is>
          <t>بله</t>
        </is>
      </c>
    </row>
    <row r="74">
      <c r="A74" s="9" t="inlineStr">
        <is>
          <t>1405-0073</t>
        </is>
      </c>
      <c r="B74" s="9" t="inlineStr">
        <is>
          <t>موسسه شهر کتاب مرکزی</t>
        </is>
      </c>
      <c r="C74" s="9" t="inlineStr">
        <is>
          <t>پایان ماه</t>
        </is>
      </c>
      <c r="D74" s="9" t="inlineStr">
        <is>
          <t>مغایرت‌گیری بانکی ماه دی</t>
        </is>
      </c>
      <c r="E74" s="9" t="inlineStr">
        <is>
          <t>ماهانه</t>
        </is>
      </c>
      <c r="F74" s="9" t="inlineStr">
        <is>
          <t>دی</t>
        </is>
      </c>
      <c r="G74" s="10" t="n">
        <v>46412</v>
      </c>
      <c r="H74" s="9" t="inlineStr">
        <is>
          <t>1405/11/05</t>
        </is>
      </c>
      <c r="I74" s="9" t="n">
        <v>5</v>
      </c>
      <c r="J74" s="10">
        <f>IF(G74="","",G74-I74)</f>
        <v/>
      </c>
      <c r="K74" s="9" t="inlineStr">
        <is>
          <t>بالا</t>
        </is>
      </c>
      <c r="L74" s="9" t="inlineStr">
        <is>
          <t>باز</t>
        </is>
      </c>
      <c r="M74" s="9">
        <f>IF(D74="","",IF(L74="انجام شده","انجام شده",IF(L74="لغو شده","لغو شده",IF(G74&lt;TODAY(),"عقب‌افتاده",IF(G74=TODAY(),"امروز",IF(G74&lt;=TODAY()+7,"تا ۷ روز",IF(G74&lt;=TODAY()+15,"تا ۱۵ روز","آینده")))))))</f>
        <v/>
      </c>
      <c r="N74" s="9" t="inlineStr"/>
      <c r="O74" s="9" t="n">
        <v>0</v>
      </c>
      <c r="P74" s="10" t="n"/>
      <c r="Q74" s="9" t="inlineStr"/>
      <c r="R74" s="9" t="inlineStr">
        <is>
          <t>پیش‌فرض 1405</t>
        </is>
      </c>
      <c r="S74" s="9" t="inlineStr">
        <is>
          <t>T101</t>
        </is>
      </c>
      <c r="T74" s="9" t="inlineStr">
        <is>
          <t>بله</t>
        </is>
      </c>
    </row>
    <row r="75">
      <c r="A75" s="9" t="inlineStr">
        <is>
          <t>1405-0074</t>
        </is>
      </c>
      <c r="B75" s="9" t="inlineStr">
        <is>
          <t>موسسه شهر کتاب مرکزی</t>
        </is>
      </c>
      <c r="C75" s="9" t="inlineStr">
        <is>
          <t>پایان ماه</t>
        </is>
      </c>
      <c r="D75" s="9" t="inlineStr">
        <is>
          <t>کنترل نهایی اسناد ماه دی</t>
        </is>
      </c>
      <c r="E75" s="9" t="inlineStr">
        <is>
          <t>ماهانه</t>
        </is>
      </c>
      <c r="F75" s="9" t="inlineStr">
        <is>
          <t>دی</t>
        </is>
      </c>
      <c r="G75" s="10" t="n">
        <v>46414</v>
      </c>
      <c r="H75" s="9" t="inlineStr">
        <is>
          <t>1405/11/07</t>
        </is>
      </c>
      <c r="I75" s="9" t="n">
        <v>5</v>
      </c>
      <c r="J75" s="10">
        <f>IF(G75="","",G75-I75)</f>
        <v/>
      </c>
      <c r="K75" s="9" t="inlineStr">
        <is>
          <t>بالا</t>
        </is>
      </c>
      <c r="L75" s="9" t="inlineStr">
        <is>
          <t>باز</t>
        </is>
      </c>
      <c r="M75" s="9">
        <f>IF(D75="","",IF(L75="انجام شده","انجام شده",IF(L75="لغو شده","لغو شده",IF(G75&lt;TODAY(),"عقب‌افتاده",IF(G75=TODAY(),"امروز",IF(G75&lt;=TODAY()+7,"تا ۷ روز",IF(G75&lt;=TODAY()+15,"تا ۱۵ روز","آینده")))))))</f>
        <v/>
      </c>
      <c r="N75" s="9" t="inlineStr"/>
      <c r="O75" s="9" t="n">
        <v>0</v>
      </c>
      <c r="P75" s="10" t="n"/>
      <c r="Q75" s="9" t="inlineStr"/>
      <c r="R75" s="9" t="inlineStr">
        <is>
          <t>پیش‌فرض 1405</t>
        </is>
      </c>
      <c r="S75" s="9" t="inlineStr">
        <is>
          <t>T102</t>
        </is>
      </c>
      <c r="T75" s="9" t="inlineStr">
        <is>
          <t>بله</t>
        </is>
      </c>
    </row>
    <row r="76">
      <c r="A76" s="9" t="inlineStr">
        <is>
          <t>1405-0075</t>
        </is>
      </c>
      <c r="B76" s="9" t="inlineStr">
        <is>
          <t>موسسه شهر کتاب مرکزی</t>
        </is>
      </c>
      <c r="C76" s="9" t="inlineStr">
        <is>
          <t>پایان ماه</t>
        </is>
      </c>
      <c r="D76" s="9" t="inlineStr">
        <is>
          <t>بستن حساب‌های ماه دی و کنترل مانده‌ها</t>
        </is>
      </c>
      <c r="E76" s="9" t="inlineStr">
        <is>
          <t>ماهانه</t>
        </is>
      </c>
      <c r="F76" s="9" t="inlineStr">
        <is>
          <t>دی</t>
        </is>
      </c>
      <c r="G76" s="10" t="n">
        <v>46417</v>
      </c>
      <c r="H76" s="9" t="inlineStr">
        <is>
          <t>1405/11/10</t>
        </is>
      </c>
      <c r="I76" s="9" t="n">
        <v>7</v>
      </c>
      <c r="J76" s="10">
        <f>IF(G76="","",G76-I76)</f>
        <v/>
      </c>
      <c r="K76" s="9" t="inlineStr">
        <is>
          <t>بالا</t>
        </is>
      </c>
      <c r="L76" s="9" t="inlineStr">
        <is>
          <t>باز</t>
        </is>
      </c>
      <c r="M76" s="9">
        <f>IF(D76="","",IF(L76="انجام شده","انجام شده",IF(L76="لغو شده","لغو شده",IF(G76&lt;TODAY(),"عقب‌افتاده",IF(G76=TODAY(),"امروز",IF(G76&lt;=TODAY()+7,"تا ۷ روز",IF(G76&lt;=TODAY()+15,"تا ۱۵ روز","آینده")))))))</f>
        <v/>
      </c>
      <c r="N76" s="9" t="inlineStr"/>
      <c r="O76" s="9" t="n">
        <v>0</v>
      </c>
      <c r="P76" s="10" t="n"/>
      <c r="Q76" s="9" t="inlineStr"/>
      <c r="R76" s="9" t="inlineStr">
        <is>
          <t>پیش‌فرض 1405</t>
        </is>
      </c>
      <c r="S76" s="9" t="inlineStr">
        <is>
          <t>T103</t>
        </is>
      </c>
      <c r="T76" s="9" t="inlineStr">
        <is>
          <t>بله</t>
        </is>
      </c>
    </row>
    <row r="77">
      <c r="A77" s="9" t="inlineStr">
        <is>
          <t>1405-0076</t>
        </is>
      </c>
      <c r="B77" s="9" t="inlineStr">
        <is>
          <t>موسسه شهر کتاب مرکزی</t>
        </is>
      </c>
      <c r="C77" s="9" t="inlineStr">
        <is>
          <t>گزارش</t>
        </is>
      </c>
      <c r="D77" s="9" t="inlineStr">
        <is>
          <t>تهیه گزارش مدیریت ماه دی</t>
        </is>
      </c>
      <c r="E77" s="9" t="inlineStr">
        <is>
          <t>ماهانه</t>
        </is>
      </c>
      <c r="F77" s="9" t="inlineStr">
        <is>
          <t>دی</t>
        </is>
      </c>
      <c r="G77" s="10" t="n">
        <v>46417</v>
      </c>
      <c r="H77" s="9" t="inlineStr">
        <is>
          <t>1405/11/10</t>
        </is>
      </c>
      <c r="I77" s="9" t="n">
        <v>5</v>
      </c>
      <c r="J77" s="10">
        <f>IF(G77="","",G77-I77)</f>
        <v/>
      </c>
      <c r="K77" s="9" t="inlineStr">
        <is>
          <t>متوسط</t>
        </is>
      </c>
      <c r="L77" s="9" t="inlineStr">
        <is>
          <t>باز</t>
        </is>
      </c>
      <c r="M77" s="9">
        <f>IF(D77="","",IF(L77="انجام شده","انجام شده",IF(L77="لغو شده","لغو شده",IF(G77&lt;TODAY(),"عقب‌افتاده",IF(G77=TODAY(),"امروز",IF(G77&lt;=TODAY()+7,"تا ۷ روز",IF(G77&lt;=TODAY()+15,"تا ۱۵ روز","آینده")))))))</f>
        <v/>
      </c>
      <c r="N77" s="9" t="inlineStr"/>
      <c r="O77" s="9" t="n">
        <v>0</v>
      </c>
      <c r="P77" s="10" t="n"/>
      <c r="Q77" s="9" t="inlineStr"/>
      <c r="R77" s="9" t="inlineStr">
        <is>
          <t>پیش‌فرض 1405</t>
        </is>
      </c>
      <c r="S77" s="9" t="inlineStr">
        <is>
          <t>T104</t>
        </is>
      </c>
      <c r="T77" s="9" t="inlineStr">
        <is>
          <t>بله</t>
        </is>
      </c>
    </row>
    <row r="78">
      <c r="A78" s="9" t="inlineStr">
        <is>
          <t>1405-0077</t>
        </is>
      </c>
      <c r="B78" s="9" t="inlineStr">
        <is>
          <t>موسسه شهر کتاب مرکزی</t>
        </is>
      </c>
      <c r="C78" s="9" t="inlineStr">
        <is>
          <t>حقوق و دستمزد</t>
        </is>
      </c>
      <c r="D78" s="9" t="inlineStr">
        <is>
          <t>محاسبه حقوق و دستمزد ماه دی</t>
        </is>
      </c>
      <c r="E78" s="9" t="inlineStr">
        <is>
          <t>ماهانه</t>
        </is>
      </c>
      <c r="F78" s="9" t="inlineStr">
        <is>
          <t>دی</t>
        </is>
      </c>
      <c r="G78" s="10" t="n">
        <v>46405</v>
      </c>
      <c r="H78" s="9" t="inlineStr">
        <is>
          <t>1405/10/28</t>
        </is>
      </c>
      <c r="I78" s="9" t="n">
        <v>5</v>
      </c>
      <c r="J78" s="10">
        <f>IF(G78="","",G78-I78)</f>
        <v/>
      </c>
      <c r="K78" s="9" t="inlineStr">
        <is>
          <t>بالا</t>
        </is>
      </c>
      <c r="L78" s="9" t="inlineStr">
        <is>
          <t>باز</t>
        </is>
      </c>
      <c r="M78" s="9">
        <f>IF(D78="","",IF(L78="انجام شده","انجام شده",IF(L78="لغو شده","لغو شده",IF(G78&lt;TODAY(),"عقب‌افتاده",IF(G78=TODAY(),"امروز",IF(G78&lt;=TODAY()+7,"تا ۷ روز",IF(G78&lt;=TODAY()+15,"تا ۱۵ روز","آینده")))))))</f>
        <v/>
      </c>
      <c r="N78" s="9" t="inlineStr"/>
      <c r="O78" s="9" t="n">
        <v>0</v>
      </c>
      <c r="P78" s="10" t="n"/>
      <c r="Q78" s="9" t="inlineStr"/>
      <c r="R78" s="9" t="inlineStr">
        <is>
          <t>پیش‌فرض 1405</t>
        </is>
      </c>
      <c r="S78" s="9" t="inlineStr">
        <is>
          <t>T105</t>
        </is>
      </c>
      <c r="T78" s="9" t="inlineStr">
        <is>
          <t>بله</t>
        </is>
      </c>
    </row>
    <row r="79">
      <c r="A79" s="9" t="inlineStr">
        <is>
          <t>1405-0078</t>
        </is>
      </c>
      <c r="B79" s="9" t="inlineStr">
        <is>
          <t>موسسه شهر کتاب مرکزی</t>
        </is>
      </c>
      <c r="C79" s="9" t="inlineStr">
        <is>
          <t>حقوق و دستمزد</t>
        </is>
      </c>
      <c r="D79" s="9" t="inlineStr">
        <is>
          <t>ارسال/پرداخت لیست بیمه ماه دی</t>
        </is>
      </c>
      <c r="E79" s="9" t="inlineStr">
        <is>
          <t>ماهانه</t>
        </is>
      </c>
      <c r="F79" s="9" t="inlineStr">
        <is>
          <t>دی</t>
        </is>
      </c>
      <c r="G79" s="10" t="n">
        <v>46437</v>
      </c>
      <c r="H79" s="9" t="inlineStr">
        <is>
          <t>1405/11/30</t>
        </is>
      </c>
      <c r="I79" s="9" t="n">
        <v>7</v>
      </c>
      <c r="J79" s="10">
        <f>IF(G79="","",G79-I79)</f>
        <v/>
      </c>
      <c r="K79" s="9" t="inlineStr">
        <is>
          <t>خیلی بالا</t>
        </is>
      </c>
      <c r="L79" s="9" t="inlineStr">
        <is>
          <t>باز</t>
        </is>
      </c>
      <c r="M79" s="9">
        <f>IF(D79="","",IF(L79="انجام شده","انجام شده",IF(L79="لغو شده","لغو شده",IF(G79&lt;TODAY(),"عقب‌افتاده",IF(G79=TODAY(),"امروز",IF(G79&lt;=TODAY()+7,"تا ۷ روز",IF(G79&lt;=TODAY()+15,"تا ۱۵ روز","آینده")))))))</f>
        <v/>
      </c>
      <c r="N79" s="9" t="inlineStr"/>
      <c r="O79" s="9" t="n">
        <v>0</v>
      </c>
      <c r="P79" s="10" t="n"/>
      <c r="Q79" s="9" t="inlineStr"/>
      <c r="R79" s="9" t="inlineStr">
        <is>
          <t>پیش‌فرض 1405</t>
        </is>
      </c>
      <c r="S79" s="9" t="inlineStr">
        <is>
          <t>T106</t>
        </is>
      </c>
      <c r="T79" s="9" t="inlineStr">
        <is>
          <t>بله</t>
        </is>
      </c>
    </row>
    <row r="80">
      <c r="A80" s="9" t="inlineStr">
        <is>
          <t>1405-0079</t>
        </is>
      </c>
      <c r="B80" s="9" t="inlineStr">
        <is>
          <t>موسسه شهر کتاب مرکزی</t>
        </is>
      </c>
      <c r="C80" s="9" t="inlineStr">
        <is>
          <t>حقوق و دستمزد</t>
        </is>
      </c>
      <c r="D80" s="9" t="inlineStr">
        <is>
          <t>ارسال/پرداخت مالیات حقوق ماه دی</t>
        </is>
      </c>
      <c r="E80" s="9" t="inlineStr">
        <is>
          <t>ماهانه</t>
        </is>
      </c>
      <c r="F80" s="9" t="inlineStr">
        <is>
          <t>دی</t>
        </is>
      </c>
      <c r="G80" s="10" t="n">
        <v>46437</v>
      </c>
      <c r="H80" s="9" t="inlineStr">
        <is>
          <t>1405/11/30</t>
        </is>
      </c>
      <c r="I80" s="9" t="n">
        <v>7</v>
      </c>
      <c r="J80" s="10">
        <f>IF(G80="","",G80-I80)</f>
        <v/>
      </c>
      <c r="K80" s="9" t="inlineStr">
        <is>
          <t>خیلی بالا</t>
        </is>
      </c>
      <c r="L80" s="9" t="inlineStr">
        <is>
          <t>باز</t>
        </is>
      </c>
      <c r="M80" s="9">
        <f>IF(D80="","",IF(L80="انجام شده","انجام شده",IF(L80="لغو شده","لغو شده",IF(G80&lt;TODAY(),"عقب‌افتاده",IF(G80=TODAY(),"امروز",IF(G80&lt;=TODAY()+7,"تا ۷ روز",IF(G80&lt;=TODAY()+15,"تا ۱۵ روز","آینده")))))))</f>
        <v/>
      </c>
      <c r="N80" s="9" t="inlineStr"/>
      <c r="O80" s="9" t="n">
        <v>0</v>
      </c>
      <c r="P80" s="10" t="n"/>
      <c r="Q80" s="9" t="inlineStr"/>
      <c r="R80" s="9" t="inlineStr">
        <is>
          <t>پیش‌فرض 1405</t>
        </is>
      </c>
      <c r="S80" s="9" t="inlineStr">
        <is>
          <t>T107</t>
        </is>
      </c>
      <c r="T80" s="9" t="inlineStr">
        <is>
          <t>بله</t>
        </is>
      </c>
    </row>
    <row r="81">
      <c r="A81" s="9" t="inlineStr">
        <is>
          <t>1405-0080</t>
        </is>
      </c>
      <c r="B81" s="9" t="inlineStr">
        <is>
          <t>موسسه شهر کتاب مرکزی</t>
        </is>
      </c>
      <c r="C81" s="9" t="inlineStr">
        <is>
          <t>بایگانی</t>
        </is>
      </c>
      <c r="D81" s="9" t="inlineStr">
        <is>
          <t>بایگانی مدارک و اسناد ماه دی</t>
        </is>
      </c>
      <c r="E81" s="9" t="inlineStr">
        <is>
          <t>ماهانه</t>
        </is>
      </c>
      <c r="F81" s="9" t="inlineStr">
        <is>
          <t>دی</t>
        </is>
      </c>
      <c r="G81" s="10" t="n">
        <v>46422</v>
      </c>
      <c r="H81" s="9" t="inlineStr">
        <is>
          <t>1405/11/15</t>
        </is>
      </c>
      <c r="I81" s="9" t="n">
        <v>3</v>
      </c>
      <c r="J81" s="10">
        <f>IF(G81="","",G81-I81)</f>
        <v/>
      </c>
      <c r="K81" s="9" t="inlineStr">
        <is>
          <t>متوسط</t>
        </is>
      </c>
      <c r="L81" s="9" t="inlineStr">
        <is>
          <t>باز</t>
        </is>
      </c>
      <c r="M81" s="9">
        <f>IF(D81="","",IF(L81="انجام شده","انجام شده",IF(L81="لغو شده","لغو شده",IF(G81&lt;TODAY(),"عقب‌افتاده",IF(G81=TODAY(),"امروز",IF(G81&lt;=TODAY()+7,"تا ۷ روز",IF(G81&lt;=TODAY()+15,"تا ۱۵ روز","آینده")))))))</f>
        <v/>
      </c>
      <c r="N81" s="9" t="inlineStr"/>
      <c r="O81" s="9" t="n">
        <v>0</v>
      </c>
      <c r="P81" s="10" t="n"/>
      <c r="Q81" s="9" t="inlineStr"/>
      <c r="R81" s="9" t="inlineStr">
        <is>
          <t>پیش‌فرض 1405</t>
        </is>
      </c>
      <c r="S81" s="9" t="inlineStr">
        <is>
          <t>T108</t>
        </is>
      </c>
      <c r="T81" s="9" t="inlineStr">
        <is>
          <t>بله</t>
        </is>
      </c>
    </row>
    <row r="82">
      <c r="A82" s="9" t="inlineStr">
        <is>
          <t>1405-0081</t>
        </is>
      </c>
      <c r="B82" s="9" t="inlineStr">
        <is>
          <t>موسسه شهر کتاب مرکزی</t>
        </is>
      </c>
      <c r="C82" s="9" t="inlineStr">
        <is>
          <t>پایان ماه</t>
        </is>
      </c>
      <c r="D82" s="9" t="inlineStr">
        <is>
          <t>مغایرت‌گیری بانکی ماه بهمن</t>
        </is>
      </c>
      <c r="E82" s="9" t="inlineStr">
        <is>
          <t>ماهانه</t>
        </is>
      </c>
      <c r="F82" s="9" t="inlineStr">
        <is>
          <t>بهمن</t>
        </is>
      </c>
      <c r="G82" s="10" t="n">
        <v>46442</v>
      </c>
      <c r="H82" s="9" t="inlineStr">
        <is>
          <t>1405/12/05</t>
        </is>
      </c>
      <c r="I82" s="9" t="n">
        <v>5</v>
      </c>
      <c r="J82" s="10">
        <f>IF(G82="","",G82-I82)</f>
        <v/>
      </c>
      <c r="K82" s="9" t="inlineStr">
        <is>
          <t>بالا</t>
        </is>
      </c>
      <c r="L82" s="9" t="inlineStr">
        <is>
          <t>باز</t>
        </is>
      </c>
      <c r="M82" s="9">
        <f>IF(D82="","",IF(L82="انجام شده","انجام شده",IF(L82="لغو شده","لغو شده",IF(G82&lt;TODAY(),"عقب‌افتاده",IF(G82=TODAY(),"امروز",IF(G82&lt;=TODAY()+7,"تا ۷ روز",IF(G82&lt;=TODAY()+15,"تا ۱۵ روز","آینده")))))))</f>
        <v/>
      </c>
      <c r="N82" s="9" t="inlineStr"/>
      <c r="O82" s="9" t="n">
        <v>0</v>
      </c>
      <c r="P82" s="10" t="n"/>
      <c r="Q82" s="9" t="inlineStr"/>
      <c r="R82" s="9" t="inlineStr">
        <is>
          <t>پیش‌فرض 1405</t>
        </is>
      </c>
      <c r="S82" s="9" t="inlineStr">
        <is>
          <t>T101</t>
        </is>
      </c>
      <c r="T82" s="9" t="inlineStr">
        <is>
          <t>بله</t>
        </is>
      </c>
    </row>
    <row r="83">
      <c r="A83" s="9" t="inlineStr">
        <is>
          <t>1405-0082</t>
        </is>
      </c>
      <c r="B83" s="9" t="inlineStr">
        <is>
          <t>موسسه شهر کتاب مرکزی</t>
        </is>
      </c>
      <c r="C83" s="9" t="inlineStr">
        <is>
          <t>پایان ماه</t>
        </is>
      </c>
      <c r="D83" s="9" t="inlineStr">
        <is>
          <t>کنترل نهایی اسناد ماه بهمن</t>
        </is>
      </c>
      <c r="E83" s="9" t="inlineStr">
        <is>
          <t>ماهانه</t>
        </is>
      </c>
      <c r="F83" s="9" t="inlineStr">
        <is>
          <t>بهمن</t>
        </is>
      </c>
      <c r="G83" s="10" t="n">
        <v>46444</v>
      </c>
      <c r="H83" s="9" t="inlineStr">
        <is>
          <t>1405/12/07</t>
        </is>
      </c>
      <c r="I83" s="9" t="n">
        <v>5</v>
      </c>
      <c r="J83" s="10">
        <f>IF(G83="","",G83-I83)</f>
        <v/>
      </c>
      <c r="K83" s="9" t="inlineStr">
        <is>
          <t>بالا</t>
        </is>
      </c>
      <c r="L83" s="9" t="inlineStr">
        <is>
          <t>باز</t>
        </is>
      </c>
      <c r="M83" s="9">
        <f>IF(D83="","",IF(L83="انجام شده","انجام شده",IF(L83="لغو شده","لغو شده",IF(G83&lt;TODAY(),"عقب‌افتاده",IF(G83=TODAY(),"امروز",IF(G83&lt;=TODAY()+7,"تا ۷ روز",IF(G83&lt;=TODAY()+15,"تا ۱۵ روز","آینده")))))))</f>
        <v/>
      </c>
      <c r="N83" s="9" t="inlineStr"/>
      <c r="O83" s="9" t="n">
        <v>0</v>
      </c>
      <c r="P83" s="10" t="n"/>
      <c r="Q83" s="9" t="inlineStr"/>
      <c r="R83" s="9" t="inlineStr">
        <is>
          <t>پیش‌فرض 1405</t>
        </is>
      </c>
      <c r="S83" s="9" t="inlineStr">
        <is>
          <t>T102</t>
        </is>
      </c>
      <c r="T83" s="9" t="inlineStr">
        <is>
          <t>بله</t>
        </is>
      </c>
    </row>
    <row r="84">
      <c r="A84" s="9" t="inlineStr">
        <is>
          <t>1405-0083</t>
        </is>
      </c>
      <c r="B84" s="9" t="inlineStr">
        <is>
          <t>موسسه شهر کتاب مرکزی</t>
        </is>
      </c>
      <c r="C84" s="9" t="inlineStr">
        <is>
          <t>پایان ماه</t>
        </is>
      </c>
      <c r="D84" s="9" t="inlineStr">
        <is>
          <t>بستن حساب‌های ماه بهمن و کنترل مانده‌ها</t>
        </is>
      </c>
      <c r="E84" s="9" t="inlineStr">
        <is>
          <t>ماهانه</t>
        </is>
      </c>
      <c r="F84" s="9" t="inlineStr">
        <is>
          <t>بهمن</t>
        </is>
      </c>
      <c r="G84" s="10" t="n">
        <v>46447</v>
      </c>
      <c r="H84" s="9" t="inlineStr">
        <is>
          <t>1405/12/10</t>
        </is>
      </c>
      <c r="I84" s="9" t="n">
        <v>7</v>
      </c>
      <c r="J84" s="10">
        <f>IF(G84="","",G84-I84)</f>
        <v/>
      </c>
      <c r="K84" s="9" t="inlineStr">
        <is>
          <t>بالا</t>
        </is>
      </c>
      <c r="L84" s="9" t="inlineStr">
        <is>
          <t>باز</t>
        </is>
      </c>
      <c r="M84" s="9">
        <f>IF(D84="","",IF(L84="انجام شده","انجام شده",IF(L84="لغو شده","لغو شده",IF(G84&lt;TODAY(),"عقب‌افتاده",IF(G84=TODAY(),"امروز",IF(G84&lt;=TODAY()+7,"تا ۷ روز",IF(G84&lt;=TODAY()+15,"تا ۱۵ روز","آینده")))))))</f>
        <v/>
      </c>
      <c r="N84" s="9" t="inlineStr"/>
      <c r="O84" s="9" t="n">
        <v>0</v>
      </c>
      <c r="P84" s="10" t="n"/>
      <c r="Q84" s="9" t="inlineStr"/>
      <c r="R84" s="9" t="inlineStr">
        <is>
          <t>پیش‌فرض 1405</t>
        </is>
      </c>
      <c r="S84" s="9" t="inlineStr">
        <is>
          <t>T103</t>
        </is>
      </c>
      <c r="T84" s="9" t="inlineStr">
        <is>
          <t>بله</t>
        </is>
      </c>
    </row>
    <row r="85">
      <c r="A85" s="9" t="inlineStr">
        <is>
          <t>1405-0084</t>
        </is>
      </c>
      <c r="B85" s="9" t="inlineStr">
        <is>
          <t>موسسه شهر کتاب مرکزی</t>
        </is>
      </c>
      <c r="C85" s="9" t="inlineStr">
        <is>
          <t>گزارش</t>
        </is>
      </c>
      <c r="D85" s="9" t="inlineStr">
        <is>
          <t>تهیه گزارش مدیریت ماه بهمن</t>
        </is>
      </c>
      <c r="E85" s="9" t="inlineStr">
        <is>
          <t>ماهانه</t>
        </is>
      </c>
      <c r="F85" s="9" t="inlineStr">
        <is>
          <t>بهمن</t>
        </is>
      </c>
      <c r="G85" s="10" t="n">
        <v>46447</v>
      </c>
      <c r="H85" s="9" t="inlineStr">
        <is>
          <t>1405/12/10</t>
        </is>
      </c>
      <c r="I85" s="9" t="n">
        <v>5</v>
      </c>
      <c r="J85" s="10">
        <f>IF(G85="","",G85-I85)</f>
        <v/>
      </c>
      <c r="K85" s="9" t="inlineStr">
        <is>
          <t>متوسط</t>
        </is>
      </c>
      <c r="L85" s="9" t="inlineStr">
        <is>
          <t>باز</t>
        </is>
      </c>
      <c r="M85" s="9">
        <f>IF(D85="","",IF(L85="انجام شده","انجام شده",IF(L85="لغو شده","لغو شده",IF(G85&lt;TODAY(),"عقب‌افتاده",IF(G85=TODAY(),"امروز",IF(G85&lt;=TODAY()+7,"تا ۷ روز",IF(G85&lt;=TODAY()+15,"تا ۱۵ روز","آینده")))))))</f>
        <v/>
      </c>
      <c r="N85" s="9" t="inlineStr"/>
      <c r="O85" s="9" t="n">
        <v>0</v>
      </c>
      <c r="P85" s="10" t="n"/>
      <c r="Q85" s="9" t="inlineStr"/>
      <c r="R85" s="9" t="inlineStr">
        <is>
          <t>پیش‌فرض 1405</t>
        </is>
      </c>
      <c r="S85" s="9" t="inlineStr">
        <is>
          <t>T104</t>
        </is>
      </c>
      <c r="T85" s="9" t="inlineStr">
        <is>
          <t>بله</t>
        </is>
      </c>
    </row>
    <row r="86">
      <c r="A86" s="9" t="inlineStr">
        <is>
          <t>1405-0085</t>
        </is>
      </c>
      <c r="B86" s="9" t="inlineStr">
        <is>
          <t>موسسه شهر کتاب مرکزی</t>
        </is>
      </c>
      <c r="C86" s="9" t="inlineStr">
        <is>
          <t>حقوق و دستمزد</t>
        </is>
      </c>
      <c r="D86" s="9" t="inlineStr">
        <is>
          <t>محاسبه حقوق و دستمزد ماه بهمن</t>
        </is>
      </c>
      <c r="E86" s="9" t="inlineStr">
        <is>
          <t>ماهانه</t>
        </is>
      </c>
      <c r="F86" s="9" t="inlineStr">
        <is>
          <t>بهمن</t>
        </is>
      </c>
      <c r="G86" s="10" t="n">
        <v>46435</v>
      </c>
      <c r="H86" s="9" t="inlineStr">
        <is>
          <t>1405/11/28</t>
        </is>
      </c>
      <c r="I86" s="9" t="n">
        <v>5</v>
      </c>
      <c r="J86" s="10">
        <f>IF(G86="","",G86-I86)</f>
        <v/>
      </c>
      <c r="K86" s="9" t="inlineStr">
        <is>
          <t>بالا</t>
        </is>
      </c>
      <c r="L86" s="9" t="inlineStr">
        <is>
          <t>باز</t>
        </is>
      </c>
      <c r="M86" s="9">
        <f>IF(D86="","",IF(L86="انجام شده","انجام شده",IF(L86="لغو شده","لغو شده",IF(G86&lt;TODAY(),"عقب‌افتاده",IF(G86=TODAY(),"امروز",IF(G86&lt;=TODAY()+7,"تا ۷ روز",IF(G86&lt;=TODAY()+15,"تا ۱۵ روز","آینده")))))))</f>
        <v/>
      </c>
      <c r="N86" s="9" t="inlineStr"/>
      <c r="O86" s="9" t="n">
        <v>0</v>
      </c>
      <c r="P86" s="10" t="n"/>
      <c r="Q86" s="9" t="inlineStr"/>
      <c r="R86" s="9" t="inlineStr">
        <is>
          <t>پیش‌فرض 1405</t>
        </is>
      </c>
      <c r="S86" s="9" t="inlineStr">
        <is>
          <t>T105</t>
        </is>
      </c>
      <c r="T86" s="9" t="inlineStr">
        <is>
          <t>بله</t>
        </is>
      </c>
    </row>
    <row r="87">
      <c r="A87" s="9" t="inlineStr">
        <is>
          <t>1405-0086</t>
        </is>
      </c>
      <c r="B87" s="9" t="inlineStr">
        <is>
          <t>موسسه شهر کتاب مرکزی</t>
        </is>
      </c>
      <c r="C87" s="9" t="inlineStr">
        <is>
          <t>حقوق و دستمزد</t>
        </is>
      </c>
      <c r="D87" s="9" t="inlineStr">
        <is>
          <t>ارسال/پرداخت لیست بیمه ماه بهمن</t>
        </is>
      </c>
      <c r="E87" s="9" t="inlineStr">
        <is>
          <t>ماهانه</t>
        </is>
      </c>
      <c r="F87" s="9" t="inlineStr">
        <is>
          <t>بهمن</t>
        </is>
      </c>
      <c r="G87" s="10" t="n">
        <v>46466</v>
      </c>
      <c r="H87" s="9" t="inlineStr">
        <is>
          <t>1405/12/29</t>
        </is>
      </c>
      <c r="I87" s="9" t="n">
        <v>7</v>
      </c>
      <c r="J87" s="10">
        <f>IF(G87="","",G87-I87)</f>
        <v/>
      </c>
      <c r="K87" s="9" t="inlineStr">
        <is>
          <t>خیلی بالا</t>
        </is>
      </c>
      <c r="L87" s="9" t="inlineStr">
        <is>
          <t>باز</t>
        </is>
      </c>
      <c r="M87" s="9">
        <f>IF(D87="","",IF(L87="انجام شده","انجام شده",IF(L87="لغو شده","لغو شده",IF(G87&lt;TODAY(),"عقب‌افتاده",IF(G87=TODAY(),"امروز",IF(G87&lt;=TODAY()+7,"تا ۷ روز",IF(G87&lt;=TODAY()+15,"تا ۱۵ روز","آینده")))))))</f>
        <v/>
      </c>
      <c r="N87" s="9" t="inlineStr"/>
      <c r="O87" s="9" t="n">
        <v>0</v>
      </c>
      <c r="P87" s="10" t="n"/>
      <c r="Q87" s="9" t="inlineStr"/>
      <c r="R87" s="9" t="inlineStr">
        <is>
          <t>پیش‌فرض 1405</t>
        </is>
      </c>
      <c r="S87" s="9" t="inlineStr">
        <is>
          <t>T106</t>
        </is>
      </c>
      <c r="T87" s="9" t="inlineStr">
        <is>
          <t>بله</t>
        </is>
      </c>
    </row>
    <row r="88">
      <c r="A88" s="9" t="inlineStr">
        <is>
          <t>1405-0087</t>
        </is>
      </c>
      <c r="B88" s="9" t="inlineStr">
        <is>
          <t>موسسه شهر کتاب مرکزی</t>
        </is>
      </c>
      <c r="C88" s="9" t="inlineStr">
        <is>
          <t>حقوق و دستمزد</t>
        </is>
      </c>
      <c r="D88" s="9" t="inlineStr">
        <is>
          <t>ارسال/پرداخت مالیات حقوق ماه بهمن</t>
        </is>
      </c>
      <c r="E88" s="9" t="inlineStr">
        <is>
          <t>ماهانه</t>
        </is>
      </c>
      <c r="F88" s="9" t="inlineStr">
        <is>
          <t>بهمن</t>
        </is>
      </c>
      <c r="G88" s="10" t="n">
        <v>46466</v>
      </c>
      <c r="H88" s="9" t="inlineStr">
        <is>
          <t>1405/12/29</t>
        </is>
      </c>
      <c r="I88" s="9" t="n">
        <v>7</v>
      </c>
      <c r="J88" s="10">
        <f>IF(G88="","",G88-I88)</f>
        <v/>
      </c>
      <c r="K88" s="9" t="inlineStr">
        <is>
          <t>خیلی بالا</t>
        </is>
      </c>
      <c r="L88" s="9" t="inlineStr">
        <is>
          <t>باز</t>
        </is>
      </c>
      <c r="M88" s="9">
        <f>IF(D88="","",IF(L88="انجام شده","انجام شده",IF(L88="لغو شده","لغو شده",IF(G88&lt;TODAY(),"عقب‌افتاده",IF(G88=TODAY(),"امروز",IF(G88&lt;=TODAY()+7,"تا ۷ روز",IF(G88&lt;=TODAY()+15,"تا ۱۵ روز","آینده")))))))</f>
        <v/>
      </c>
      <c r="N88" s="9" t="inlineStr"/>
      <c r="O88" s="9" t="n">
        <v>0</v>
      </c>
      <c r="P88" s="10" t="n"/>
      <c r="Q88" s="9" t="inlineStr"/>
      <c r="R88" s="9" t="inlineStr">
        <is>
          <t>پیش‌فرض 1405</t>
        </is>
      </c>
      <c r="S88" s="9" t="inlineStr">
        <is>
          <t>T107</t>
        </is>
      </c>
      <c r="T88" s="9" t="inlineStr">
        <is>
          <t>بله</t>
        </is>
      </c>
    </row>
    <row r="89">
      <c r="A89" s="9" t="inlineStr">
        <is>
          <t>1405-0088</t>
        </is>
      </c>
      <c r="B89" s="9" t="inlineStr">
        <is>
          <t>موسسه شهر کتاب مرکزی</t>
        </is>
      </c>
      <c r="C89" s="9" t="inlineStr">
        <is>
          <t>بایگانی</t>
        </is>
      </c>
      <c r="D89" s="9" t="inlineStr">
        <is>
          <t>بایگانی مدارک و اسناد ماه بهمن</t>
        </is>
      </c>
      <c r="E89" s="9" t="inlineStr">
        <is>
          <t>ماهانه</t>
        </is>
      </c>
      <c r="F89" s="9" t="inlineStr">
        <is>
          <t>بهمن</t>
        </is>
      </c>
      <c r="G89" s="10" t="n">
        <v>46452</v>
      </c>
      <c r="H89" s="9" t="inlineStr">
        <is>
          <t>1405/12/15</t>
        </is>
      </c>
      <c r="I89" s="9" t="n">
        <v>3</v>
      </c>
      <c r="J89" s="10">
        <f>IF(G89="","",G89-I89)</f>
        <v/>
      </c>
      <c r="K89" s="9" t="inlineStr">
        <is>
          <t>متوسط</t>
        </is>
      </c>
      <c r="L89" s="9" t="inlineStr">
        <is>
          <t>باز</t>
        </is>
      </c>
      <c r="M89" s="9">
        <f>IF(D89="","",IF(L89="انجام شده","انجام شده",IF(L89="لغو شده","لغو شده",IF(G89&lt;TODAY(),"عقب‌افتاده",IF(G89=TODAY(),"امروز",IF(G89&lt;=TODAY()+7,"تا ۷ روز",IF(G89&lt;=TODAY()+15,"تا ۱۵ روز","آینده")))))))</f>
        <v/>
      </c>
      <c r="N89" s="9" t="inlineStr"/>
      <c r="O89" s="9" t="n">
        <v>0</v>
      </c>
      <c r="P89" s="10" t="n"/>
      <c r="Q89" s="9" t="inlineStr"/>
      <c r="R89" s="9" t="inlineStr">
        <is>
          <t>پیش‌فرض 1405</t>
        </is>
      </c>
      <c r="S89" s="9" t="inlineStr">
        <is>
          <t>T108</t>
        </is>
      </c>
      <c r="T89" s="9" t="inlineStr">
        <is>
          <t>بله</t>
        </is>
      </c>
    </row>
    <row r="90">
      <c r="A90" s="9" t="inlineStr">
        <is>
          <t>1405-0089</t>
        </is>
      </c>
      <c r="B90" s="9" t="inlineStr">
        <is>
          <t>موسسه شهر کتاب مرکزی</t>
        </is>
      </c>
      <c r="C90" s="9" t="inlineStr">
        <is>
          <t>پایان ماه</t>
        </is>
      </c>
      <c r="D90" s="9" t="inlineStr">
        <is>
          <t>مغایرت‌گیری بانکی ماه اسفند</t>
        </is>
      </c>
      <c r="E90" s="9" t="inlineStr">
        <is>
          <t>ماهانه</t>
        </is>
      </c>
      <c r="F90" s="9" t="inlineStr">
        <is>
          <t>اسفند</t>
        </is>
      </c>
      <c r="G90" s="10" t="n">
        <v>46471</v>
      </c>
      <c r="H90" s="9" t="inlineStr">
        <is>
          <t>1406/01/05</t>
        </is>
      </c>
      <c r="I90" s="9" t="n">
        <v>5</v>
      </c>
      <c r="J90" s="10">
        <f>IF(G90="","",G90-I90)</f>
        <v/>
      </c>
      <c r="K90" s="9" t="inlineStr">
        <is>
          <t>بالا</t>
        </is>
      </c>
      <c r="L90" s="9" t="inlineStr">
        <is>
          <t>باز</t>
        </is>
      </c>
      <c r="M90" s="9">
        <f>IF(D90="","",IF(L90="انجام شده","انجام شده",IF(L90="لغو شده","لغو شده",IF(G90&lt;TODAY(),"عقب‌افتاده",IF(G90=TODAY(),"امروز",IF(G90&lt;=TODAY()+7,"تا ۷ روز",IF(G90&lt;=TODAY()+15,"تا ۱۵ روز","آینده")))))))</f>
        <v/>
      </c>
      <c r="N90" s="9" t="inlineStr"/>
      <c r="O90" s="9" t="n">
        <v>0</v>
      </c>
      <c r="P90" s="10" t="n"/>
      <c r="Q90" s="9" t="inlineStr"/>
      <c r="R90" s="9" t="inlineStr">
        <is>
          <t>پیش‌فرض 1405</t>
        </is>
      </c>
      <c r="S90" s="9" t="inlineStr">
        <is>
          <t>T101</t>
        </is>
      </c>
      <c r="T90" s="9" t="inlineStr">
        <is>
          <t>بله</t>
        </is>
      </c>
    </row>
    <row r="91">
      <c r="A91" s="9" t="inlineStr">
        <is>
          <t>1405-0090</t>
        </is>
      </c>
      <c r="B91" s="9" t="inlineStr">
        <is>
          <t>موسسه شهر کتاب مرکزی</t>
        </is>
      </c>
      <c r="C91" s="9" t="inlineStr">
        <is>
          <t>پایان ماه</t>
        </is>
      </c>
      <c r="D91" s="9" t="inlineStr">
        <is>
          <t>کنترل نهایی اسناد ماه اسفند</t>
        </is>
      </c>
      <c r="E91" s="9" t="inlineStr">
        <is>
          <t>ماهانه</t>
        </is>
      </c>
      <c r="F91" s="9" t="inlineStr">
        <is>
          <t>اسفند</t>
        </is>
      </c>
      <c r="G91" s="10" t="n">
        <v>46473</v>
      </c>
      <c r="H91" s="9" t="inlineStr">
        <is>
          <t>1406/01/07</t>
        </is>
      </c>
      <c r="I91" s="9" t="n">
        <v>5</v>
      </c>
      <c r="J91" s="10">
        <f>IF(G91="","",G91-I91)</f>
        <v/>
      </c>
      <c r="K91" s="9" t="inlineStr">
        <is>
          <t>بالا</t>
        </is>
      </c>
      <c r="L91" s="9" t="inlineStr">
        <is>
          <t>باز</t>
        </is>
      </c>
      <c r="M91" s="9">
        <f>IF(D91="","",IF(L91="انجام شده","انجام شده",IF(L91="لغو شده","لغو شده",IF(G91&lt;TODAY(),"عقب‌افتاده",IF(G91=TODAY(),"امروز",IF(G91&lt;=TODAY()+7,"تا ۷ روز",IF(G91&lt;=TODAY()+15,"تا ۱۵ روز","آینده")))))))</f>
        <v/>
      </c>
      <c r="N91" s="9" t="inlineStr"/>
      <c r="O91" s="9" t="n">
        <v>0</v>
      </c>
      <c r="P91" s="10" t="n"/>
      <c r="Q91" s="9" t="inlineStr"/>
      <c r="R91" s="9" t="inlineStr">
        <is>
          <t>پیش‌فرض 1405</t>
        </is>
      </c>
      <c r="S91" s="9" t="inlineStr">
        <is>
          <t>T102</t>
        </is>
      </c>
      <c r="T91" s="9" t="inlineStr">
        <is>
          <t>بله</t>
        </is>
      </c>
    </row>
    <row r="92">
      <c r="A92" s="9" t="inlineStr">
        <is>
          <t>1405-0091</t>
        </is>
      </c>
      <c r="B92" s="9" t="inlineStr">
        <is>
          <t>موسسه شهر کتاب مرکزی</t>
        </is>
      </c>
      <c r="C92" s="9" t="inlineStr">
        <is>
          <t>پایان ماه</t>
        </is>
      </c>
      <c r="D92" s="9" t="inlineStr">
        <is>
          <t>بستن حساب‌های ماه اسفند و کنترل مانده‌ها</t>
        </is>
      </c>
      <c r="E92" s="9" t="inlineStr">
        <is>
          <t>ماهانه</t>
        </is>
      </c>
      <c r="F92" s="9" t="inlineStr">
        <is>
          <t>اسفند</t>
        </is>
      </c>
      <c r="G92" s="10" t="n">
        <v>46476</v>
      </c>
      <c r="H92" s="9" t="inlineStr">
        <is>
          <t>1406/01/10</t>
        </is>
      </c>
      <c r="I92" s="9" t="n">
        <v>7</v>
      </c>
      <c r="J92" s="10">
        <f>IF(G92="","",G92-I92)</f>
        <v/>
      </c>
      <c r="K92" s="9" t="inlineStr">
        <is>
          <t>بالا</t>
        </is>
      </c>
      <c r="L92" s="9" t="inlineStr">
        <is>
          <t>باز</t>
        </is>
      </c>
      <c r="M92" s="9">
        <f>IF(D92="","",IF(L92="انجام شده","انجام شده",IF(L92="لغو شده","لغو شده",IF(G92&lt;TODAY(),"عقب‌افتاده",IF(G92=TODAY(),"امروز",IF(G92&lt;=TODAY()+7,"تا ۷ روز",IF(G92&lt;=TODAY()+15,"تا ۱۵ روز","آینده")))))))</f>
        <v/>
      </c>
      <c r="N92" s="9" t="inlineStr"/>
      <c r="O92" s="9" t="n">
        <v>0</v>
      </c>
      <c r="P92" s="10" t="n"/>
      <c r="Q92" s="9" t="inlineStr"/>
      <c r="R92" s="9" t="inlineStr">
        <is>
          <t>پیش‌فرض 1405</t>
        </is>
      </c>
      <c r="S92" s="9" t="inlineStr">
        <is>
          <t>T103</t>
        </is>
      </c>
      <c r="T92" s="9" t="inlineStr">
        <is>
          <t>بله</t>
        </is>
      </c>
    </row>
    <row r="93">
      <c r="A93" s="9" t="inlineStr">
        <is>
          <t>1405-0092</t>
        </is>
      </c>
      <c r="B93" s="9" t="inlineStr">
        <is>
          <t>موسسه شهر کتاب مرکزی</t>
        </is>
      </c>
      <c r="C93" s="9" t="inlineStr">
        <is>
          <t>گزارش</t>
        </is>
      </c>
      <c r="D93" s="9" t="inlineStr">
        <is>
          <t>تهیه گزارش مدیریت ماه اسفند</t>
        </is>
      </c>
      <c r="E93" s="9" t="inlineStr">
        <is>
          <t>ماهانه</t>
        </is>
      </c>
      <c r="F93" s="9" t="inlineStr">
        <is>
          <t>اسفند</t>
        </is>
      </c>
      <c r="G93" s="10" t="n">
        <v>46476</v>
      </c>
      <c r="H93" s="9" t="inlineStr">
        <is>
          <t>1406/01/10</t>
        </is>
      </c>
      <c r="I93" s="9" t="n">
        <v>5</v>
      </c>
      <c r="J93" s="10">
        <f>IF(G93="","",G93-I93)</f>
        <v/>
      </c>
      <c r="K93" s="9" t="inlineStr">
        <is>
          <t>متوسط</t>
        </is>
      </c>
      <c r="L93" s="9" t="inlineStr">
        <is>
          <t>باز</t>
        </is>
      </c>
      <c r="M93" s="9">
        <f>IF(D93="","",IF(L93="انجام شده","انجام شده",IF(L93="لغو شده","لغو شده",IF(G93&lt;TODAY(),"عقب‌افتاده",IF(G93=TODAY(),"امروز",IF(G93&lt;=TODAY()+7,"تا ۷ روز",IF(G93&lt;=TODAY()+15,"تا ۱۵ روز","آینده")))))))</f>
        <v/>
      </c>
      <c r="N93" s="9" t="inlineStr"/>
      <c r="O93" s="9" t="n">
        <v>0</v>
      </c>
      <c r="P93" s="10" t="n"/>
      <c r="Q93" s="9" t="inlineStr"/>
      <c r="R93" s="9" t="inlineStr">
        <is>
          <t>پیش‌فرض 1405</t>
        </is>
      </c>
      <c r="S93" s="9" t="inlineStr">
        <is>
          <t>T104</t>
        </is>
      </c>
      <c r="T93" s="9" t="inlineStr">
        <is>
          <t>بله</t>
        </is>
      </c>
    </row>
    <row r="94">
      <c r="A94" s="9" t="inlineStr">
        <is>
          <t>1405-0093</t>
        </is>
      </c>
      <c r="B94" s="9" t="inlineStr">
        <is>
          <t>موسسه شهر کتاب مرکزی</t>
        </is>
      </c>
      <c r="C94" s="9" t="inlineStr">
        <is>
          <t>حقوق و دستمزد</t>
        </is>
      </c>
      <c r="D94" s="9" t="inlineStr">
        <is>
          <t>محاسبه حقوق و دستمزد ماه اسفند</t>
        </is>
      </c>
      <c r="E94" s="9" t="inlineStr">
        <is>
          <t>ماهانه</t>
        </is>
      </c>
      <c r="F94" s="9" t="inlineStr">
        <is>
          <t>اسفند</t>
        </is>
      </c>
      <c r="G94" s="10" t="n">
        <v>46465</v>
      </c>
      <c r="H94" s="9" t="inlineStr">
        <is>
          <t>1405/12/28</t>
        </is>
      </c>
      <c r="I94" s="9" t="n">
        <v>5</v>
      </c>
      <c r="J94" s="10">
        <f>IF(G94="","",G94-I94)</f>
        <v/>
      </c>
      <c r="K94" s="9" t="inlineStr">
        <is>
          <t>بالا</t>
        </is>
      </c>
      <c r="L94" s="9" t="inlineStr">
        <is>
          <t>باز</t>
        </is>
      </c>
      <c r="M94" s="9">
        <f>IF(D94="","",IF(L94="انجام شده","انجام شده",IF(L94="لغو شده","لغو شده",IF(G94&lt;TODAY(),"عقب‌افتاده",IF(G94=TODAY(),"امروز",IF(G94&lt;=TODAY()+7,"تا ۷ روز",IF(G94&lt;=TODAY()+15,"تا ۱۵ روز","آینده")))))))</f>
        <v/>
      </c>
      <c r="N94" s="9" t="inlineStr"/>
      <c r="O94" s="9" t="n">
        <v>0</v>
      </c>
      <c r="P94" s="10" t="n"/>
      <c r="Q94" s="9" t="inlineStr"/>
      <c r="R94" s="9" t="inlineStr">
        <is>
          <t>پیش‌فرض 1405</t>
        </is>
      </c>
      <c r="S94" s="9" t="inlineStr">
        <is>
          <t>T105</t>
        </is>
      </c>
      <c r="T94" s="9" t="inlineStr">
        <is>
          <t>بله</t>
        </is>
      </c>
    </row>
    <row r="95">
      <c r="A95" s="9" t="inlineStr">
        <is>
          <t>1405-0094</t>
        </is>
      </c>
      <c r="B95" s="9" t="inlineStr">
        <is>
          <t>موسسه شهر کتاب مرکزی</t>
        </is>
      </c>
      <c r="C95" s="9" t="inlineStr">
        <is>
          <t>حقوق و دستمزد</t>
        </is>
      </c>
      <c r="D95" s="9" t="inlineStr">
        <is>
          <t>ارسال/پرداخت لیست بیمه ماه اسفند</t>
        </is>
      </c>
      <c r="E95" s="9" t="inlineStr">
        <is>
          <t>ماهانه</t>
        </is>
      </c>
      <c r="F95" s="9" t="inlineStr">
        <is>
          <t>اسفند</t>
        </is>
      </c>
      <c r="G95" s="10" t="n">
        <v>46497</v>
      </c>
      <c r="H95" s="9" t="inlineStr">
        <is>
          <t>1406/01/31</t>
        </is>
      </c>
      <c r="I95" s="9" t="n">
        <v>7</v>
      </c>
      <c r="J95" s="10">
        <f>IF(G95="","",G95-I95)</f>
        <v/>
      </c>
      <c r="K95" s="9" t="inlineStr">
        <is>
          <t>خیلی بالا</t>
        </is>
      </c>
      <c r="L95" s="9" t="inlineStr">
        <is>
          <t>باز</t>
        </is>
      </c>
      <c r="M95" s="9">
        <f>IF(D95="","",IF(L95="انجام شده","انجام شده",IF(L95="لغو شده","لغو شده",IF(G95&lt;TODAY(),"عقب‌افتاده",IF(G95=TODAY(),"امروز",IF(G95&lt;=TODAY()+7,"تا ۷ روز",IF(G95&lt;=TODAY()+15,"تا ۱۵ روز","آینده")))))))</f>
        <v/>
      </c>
      <c r="N95" s="9" t="inlineStr"/>
      <c r="O95" s="9" t="n">
        <v>0</v>
      </c>
      <c r="P95" s="10" t="n"/>
      <c r="Q95" s="9" t="inlineStr"/>
      <c r="R95" s="9" t="inlineStr">
        <is>
          <t>پیش‌فرض 1405</t>
        </is>
      </c>
      <c r="S95" s="9" t="inlineStr">
        <is>
          <t>T106</t>
        </is>
      </c>
      <c r="T95" s="9" t="inlineStr">
        <is>
          <t>بله</t>
        </is>
      </c>
    </row>
    <row r="96">
      <c r="A96" s="9" t="inlineStr">
        <is>
          <t>1405-0095</t>
        </is>
      </c>
      <c r="B96" s="9" t="inlineStr">
        <is>
          <t>موسسه شهر کتاب مرکزی</t>
        </is>
      </c>
      <c r="C96" s="9" t="inlineStr">
        <is>
          <t>حقوق و دستمزد</t>
        </is>
      </c>
      <c r="D96" s="9" t="inlineStr">
        <is>
          <t>ارسال/پرداخت مالیات حقوق ماه اسفند</t>
        </is>
      </c>
      <c r="E96" s="9" t="inlineStr">
        <is>
          <t>ماهانه</t>
        </is>
      </c>
      <c r="F96" s="9" t="inlineStr">
        <is>
          <t>اسفند</t>
        </is>
      </c>
      <c r="G96" s="10" t="n">
        <v>46497</v>
      </c>
      <c r="H96" s="9" t="inlineStr">
        <is>
          <t>1406/01/31</t>
        </is>
      </c>
      <c r="I96" s="9" t="n">
        <v>7</v>
      </c>
      <c r="J96" s="10">
        <f>IF(G96="","",G96-I96)</f>
        <v/>
      </c>
      <c r="K96" s="9" t="inlineStr">
        <is>
          <t>خیلی بالا</t>
        </is>
      </c>
      <c r="L96" s="9" t="inlineStr">
        <is>
          <t>باز</t>
        </is>
      </c>
      <c r="M96" s="9">
        <f>IF(D96="","",IF(L96="انجام شده","انجام شده",IF(L96="لغو شده","لغو شده",IF(G96&lt;TODAY(),"عقب‌افتاده",IF(G96=TODAY(),"امروز",IF(G96&lt;=TODAY()+7,"تا ۷ روز",IF(G96&lt;=TODAY()+15,"تا ۱۵ روز","آینده")))))))</f>
        <v/>
      </c>
      <c r="N96" s="9" t="inlineStr"/>
      <c r="O96" s="9" t="n">
        <v>0</v>
      </c>
      <c r="P96" s="10" t="n"/>
      <c r="Q96" s="9" t="inlineStr"/>
      <c r="R96" s="9" t="inlineStr">
        <is>
          <t>پیش‌فرض 1405</t>
        </is>
      </c>
      <c r="S96" s="9" t="inlineStr">
        <is>
          <t>T107</t>
        </is>
      </c>
      <c r="T96" s="9" t="inlineStr">
        <is>
          <t>بله</t>
        </is>
      </c>
    </row>
    <row r="97">
      <c r="A97" s="9" t="inlineStr">
        <is>
          <t>1405-0096</t>
        </is>
      </c>
      <c r="B97" s="9" t="inlineStr">
        <is>
          <t>موسسه شهر کتاب مرکزی</t>
        </is>
      </c>
      <c r="C97" s="9" t="inlineStr">
        <is>
          <t>بایگانی</t>
        </is>
      </c>
      <c r="D97" s="9" t="inlineStr">
        <is>
          <t>بایگانی مدارک و اسناد ماه اسفند</t>
        </is>
      </c>
      <c r="E97" s="9" t="inlineStr">
        <is>
          <t>ماهانه</t>
        </is>
      </c>
      <c r="F97" s="9" t="inlineStr">
        <is>
          <t>اسفند</t>
        </is>
      </c>
      <c r="G97" s="10" t="n">
        <v>46481</v>
      </c>
      <c r="H97" s="9" t="inlineStr">
        <is>
          <t>1406/01/15</t>
        </is>
      </c>
      <c r="I97" s="9" t="n">
        <v>3</v>
      </c>
      <c r="J97" s="10">
        <f>IF(G97="","",G97-I97)</f>
        <v/>
      </c>
      <c r="K97" s="9" t="inlineStr">
        <is>
          <t>متوسط</t>
        </is>
      </c>
      <c r="L97" s="9" t="inlineStr">
        <is>
          <t>باز</t>
        </is>
      </c>
      <c r="M97" s="9">
        <f>IF(D97="","",IF(L97="انجام شده","انجام شده",IF(L97="لغو شده","لغو شده",IF(G97&lt;TODAY(),"عقب‌افتاده",IF(G97=TODAY(),"امروز",IF(G97&lt;=TODAY()+7,"تا ۷ روز",IF(G97&lt;=TODAY()+15,"تا ۱۵ روز","آینده")))))))</f>
        <v/>
      </c>
      <c r="N97" s="9" t="inlineStr"/>
      <c r="O97" s="9" t="n">
        <v>0</v>
      </c>
      <c r="P97" s="10" t="n"/>
      <c r="Q97" s="9" t="inlineStr"/>
      <c r="R97" s="9" t="inlineStr">
        <is>
          <t>پیش‌فرض 1405</t>
        </is>
      </c>
      <c r="S97" s="9" t="inlineStr">
        <is>
          <t>T108</t>
        </is>
      </c>
      <c r="T97" s="9" t="inlineStr">
        <is>
          <t>بله</t>
        </is>
      </c>
    </row>
    <row r="98">
      <c r="A98" s="9" t="inlineStr">
        <is>
          <t>1405-0097</t>
        </is>
      </c>
      <c r="B98" s="9" t="inlineStr">
        <is>
          <t>فروشگاه شهر کتاب مرکزی</t>
        </is>
      </c>
      <c r="C98" s="9" t="inlineStr">
        <is>
          <t>پایان ماه</t>
        </is>
      </c>
      <c r="D98" s="9" t="inlineStr">
        <is>
          <t>مغایرت‌گیری بانکی ماه فروردین</t>
        </is>
      </c>
      <c r="E98" s="9" t="inlineStr">
        <is>
          <t>ماهانه</t>
        </is>
      </c>
      <c r="F98" s="9" t="inlineStr">
        <is>
          <t>فروردین</t>
        </is>
      </c>
      <c r="G98" s="10" t="n">
        <v>46137</v>
      </c>
      <c r="H98" s="9" t="inlineStr">
        <is>
          <t>1405/02/05</t>
        </is>
      </c>
      <c r="I98" s="9" t="n">
        <v>5</v>
      </c>
      <c r="J98" s="10">
        <f>IF(G98="","",G98-I98)</f>
        <v/>
      </c>
      <c r="K98" s="9" t="inlineStr">
        <is>
          <t>بالا</t>
        </is>
      </c>
      <c r="L98" s="9" t="inlineStr">
        <is>
          <t>باز</t>
        </is>
      </c>
      <c r="M98" s="9">
        <f>IF(D98="","",IF(L98="انجام شده","انجام شده",IF(L98="لغو شده","لغو شده",IF(G98&lt;TODAY(),"عقب‌افتاده",IF(G98=TODAY(),"امروز",IF(G98&lt;=TODAY()+7,"تا ۷ روز",IF(G98&lt;=TODAY()+15,"تا ۱۵ روز","آینده")))))))</f>
        <v/>
      </c>
      <c r="N98" s="9" t="inlineStr"/>
      <c r="O98" s="9" t="n">
        <v>0</v>
      </c>
      <c r="P98" s="10" t="n"/>
      <c r="Q98" s="9" t="inlineStr"/>
      <c r="R98" s="9" t="inlineStr">
        <is>
          <t>پیش‌فرض 1405</t>
        </is>
      </c>
      <c r="S98" s="9" t="inlineStr">
        <is>
          <t>T101</t>
        </is>
      </c>
      <c r="T98" s="9" t="inlineStr">
        <is>
          <t>بله</t>
        </is>
      </c>
    </row>
    <row r="99">
      <c r="A99" s="9" t="inlineStr">
        <is>
          <t>1405-0098</t>
        </is>
      </c>
      <c r="B99" s="9" t="inlineStr">
        <is>
          <t>فروشگاه شهر کتاب مرکزی</t>
        </is>
      </c>
      <c r="C99" s="9" t="inlineStr">
        <is>
          <t>پایان ماه</t>
        </is>
      </c>
      <c r="D99" s="9" t="inlineStr">
        <is>
          <t>کنترل نهایی اسناد ماه فروردین</t>
        </is>
      </c>
      <c r="E99" s="9" t="inlineStr">
        <is>
          <t>ماهانه</t>
        </is>
      </c>
      <c r="F99" s="9" t="inlineStr">
        <is>
          <t>فروردین</t>
        </is>
      </c>
      <c r="G99" s="10" t="n">
        <v>46139</v>
      </c>
      <c r="H99" s="9" t="inlineStr">
        <is>
          <t>1405/02/07</t>
        </is>
      </c>
      <c r="I99" s="9" t="n">
        <v>5</v>
      </c>
      <c r="J99" s="10">
        <f>IF(G99="","",G99-I99)</f>
        <v/>
      </c>
      <c r="K99" s="9" t="inlineStr">
        <is>
          <t>بالا</t>
        </is>
      </c>
      <c r="L99" s="9" t="inlineStr">
        <is>
          <t>باز</t>
        </is>
      </c>
      <c r="M99" s="9">
        <f>IF(D99="","",IF(L99="انجام شده","انجام شده",IF(L99="لغو شده","لغو شده",IF(G99&lt;TODAY(),"عقب‌افتاده",IF(G99=TODAY(),"امروز",IF(G99&lt;=TODAY()+7,"تا ۷ روز",IF(G99&lt;=TODAY()+15,"تا ۱۵ روز","آینده")))))))</f>
        <v/>
      </c>
      <c r="N99" s="9" t="inlineStr"/>
      <c r="O99" s="9" t="n">
        <v>0</v>
      </c>
      <c r="P99" s="10" t="n"/>
      <c r="Q99" s="9" t="inlineStr"/>
      <c r="R99" s="9" t="inlineStr">
        <is>
          <t>پیش‌فرض 1405</t>
        </is>
      </c>
      <c r="S99" s="9" t="inlineStr">
        <is>
          <t>T102</t>
        </is>
      </c>
      <c r="T99" s="9" t="inlineStr">
        <is>
          <t>بله</t>
        </is>
      </c>
    </row>
    <row r="100">
      <c r="A100" s="9" t="inlineStr">
        <is>
          <t>1405-0099</t>
        </is>
      </c>
      <c r="B100" s="9" t="inlineStr">
        <is>
          <t>فروشگاه شهر کتاب مرکزی</t>
        </is>
      </c>
      <c r="C100" s="9" t="inlineStr">
        <is>
          <t>پایان ماه</t>
        </is>
      </c>
      <c r="D100" s="9" t="inlineStr">
        <is>
          <t>بستن حساب‌های ماه فروردین و کنترل مانده‌ها</t>
        </is>
      </c>
      <c r="E100" s="9" t="inlineStr">
        <is>
          <t>ماهانه</t>
        </is>
      </c>
      <c r="F100" s="9" t="inlineStr">
        <is>
          <t>فروردین</t>
        </is>
      </c>
      <c r="G100" s="10" t="n">
        <v>46142</v>
      </c>
      <c r="H100" s="9" t="inlineStr">
        <is>
          <t>1405/02/10</t>
        </is>
      </c>
      <c r="I100" s="9" t="n">
        <v>7</v>
      </c>
      <c r="J100" s="10">
        <f>IF(G100="","",G100-I100)</f>
        <v/>
      </c>
      <c r="K100" s="9" t="inlineStr">
        <is>
          <t>بالا</t>
        </is>
      </c>
      <c r="L100" s="9" t="inlineStr">
        <is>
          <t>باز</t>
        </is>
      </c>
      <c r="M100" s="9">
        <f>IF(D100="","",IF(L100="انجام شده","انجام شده",IF(L100="لغو شده","لغو شده",IF(G100&lt;TODAY(),"عقب‌افتاده",IF(G100=TODAY(),"امروز",IF(G100&lt;=TODAY()+7,"تا ۷ روز",IF(G100&lt;=TODAY()+15,"تا ۱۵ روز","آینده")))))))</f>
        <v/>
      </c>
      <c r="N100" s="9" t="inlineStr"/>
      <c r="O100" s="9" t="n">
        <v>0</v>
      </c>
      <c r="P100" s="10" t="n"/>
      <c r="Q100" s="9" t="inlineStr"/>
      <c r="R100" s="9" t="inlineStr">
        <is>
          <t>پیش‌فرض 1405</t>
        </is>
      </c>
      <c r="S100" s="9" t="inlineStr">
        <is>
          <t>T103</t>
        </is>
      </c>
      <c r="T100" s="9" t="inlineStr">
        <is>
          <t>بله</t>
        </is>
      </c>
    </row>
    <row r="101">
      <c r="A101" s="9" t="inlineStr">
        <is>
          <t>1405-0100</t>
        </is>
      </c>
      <c r="B101" s="9" t="inlineStr">
        <is>
          <t>فروشگاه شهر کتاب مرکزی</t>
        </is>
      </c>
      <c r="C101" s="9" t="inlineStr">
        <is>
          <t>گزارش</t>
        </is>
      </c>
      <c r="D101" s="9" t="inlineStr">
        <is>
          <t>تهیه گزارش مدیریت ماه فروردین</t>
        </is>
      </c>
      <c r="E101" s="9" t="inlineStr">
        <is>
          <t>ماهانه</t>
        </is>
      </c>
      <c r="F101" s="9" t="inlineStr">
        <is>
          <t>فروردین</t>
        </is>
      </c>
      <c r="G101" s="10" t="n">
        <v>46142</v>
      </c>
      <c r="H101" s="9" t="inlineStr">
        <is>
          <t>1405/02/10</t>
        </is>
      </c>
      <c r="I101" s="9" t="n">
        <v>5</v>
      </c>
      <c r="J101" s="10">
        <f>IF(G101="","",G101-I101)</f>
        <v/>
      </c>
      <c r="K101" s="9" t="inlineStr">
        <is>
          <t>متوسط</t>
        </is>
      </c>
      <c r="L101" s="9" t="inlineStr">
        <is>
          <t>باز</t>
        </is>
      </c>
      <c r="M101" s="9">
        <f>IF(D101="","",IF(L101="انجام شده","انجام شده",IF(L101="لغو شده","لغو شده",IF(G101&lt;TODAY(),"عقب‌افتاده",IF(G101=TODAY(),"امروز",IF(G101&lt;=TODAY()+7,"تا ۷ روز",IF(G101&lt;=TODAY()+15,"تا ۱۵ روز","آینده")))))))</f>
        <v/>
      </c>
      <c r="N101" s="9" t="inlineStr"/>
      <c r="O101" s="9" t="n">
        <v>0</v>
      </c>
      <c r="P101" s="10" t="n"/>
      <c r="Q101" s="9" t="inlineStr"/>
      <c r="R101" s="9" t="inlineStr">
        <is>
          <t>پیش‌فرض 1405</t>
        </is>
      </c>
      <c r="S101" s="9" t="inlineStr">
        <is>
          <t>T104</t>
        </is>
      </c>
      <c r="T101" s="9" t="inlineStr">
        <is>
          <t>بله</t>
        </is>
      </c>
    </row>
    <row r="102">
      <c r="A102" s="9" t="inlineStr">
        <is>
          <t>1405-0101</t>
        </is>
      </c>
      <c r="B102" s="9" t="inlineStr">
        <is>
          <t>فروشگاه شهر کتاب مرکزی</t>
        </is>
      </c>
      <c r="C102" s="9" t="inlineStr">
        <is>
          <t>حقوق و دستمزد</t>
        </is>
      </c>
      <c r="D102" s="9" t="inlineStr">
        <is>
          <t>محاسبه حقوق و دستمزد ماه فروردین</t>
        </is>
      </c>
      <c r="E102" s="9" t="inlineStr">
        <is>
          <t>ماهانه</t>
        </is>
      </c>
      <c r="F102" s="9" t="inlineStr">
        <is>
          <t>فروردین</t>
        </is>
      </c>
      <c r="G102" s="10" t="n">
        <v>46129</v>
      </c>
      <c r="H102" s="9" t="inlineStr">
        <is>
          <t>1405/01/28</t>
        </is>
      </c>
      <c r="I102" s="9" t="n">
        <v>5</v>
      </c>
      <c r="J102" s="10">
        <f>IF(G102="","",G102-I102)</f>
        <v/>
      </c>
      <c r="K102" s="9" t="inlineStr">
        <is>
          <t>بالا</t>
        </is>
      </c>
      <c r="L102" s="9" t="inlineStr">
        <is>
          <t>باز</t>
        </is>
      </c>
      <c r="M102" s="9">
        <f>IF(D102="","",IF(L102="انجام شده","انجام شده",IF(L102="لغو شده","لغو شده",IF(G102&lt;TODAY(),"عقب‌افتاده",IF(G102=TODAY(),"امروز",IF(G102&lt;=TODAY()+7,"تا ۷ روز",IF(G102&lt;=TODAY()+15,"تا ۱۵ روز","آینده")))))))</f>
        <v/>
      </c>
      <c r="N102" s="9" t="inlineStr"/>
      <c r="O102" s="9" t="n">
        <v>0</v>
      </c>
      <c r="P102" s="10" t="n"/>
      <c r="Q102" s="9" t="inlineStr"/>
      <c r="R102" s="9" t="inlineStr">
        <is>
          <t>پیش‌فرض 1405</t>
        </is>
      </c>
      <c r="S102" s="9" t="inlineStr">
        <is>
          <t>T105</t>
        </is>
      </c>
      <c r="T102" s="9" t="inlineStr">
        <is>
          <t>بله</t>
        </is>
      </c>
    </row>
    <row r="103">
      <c r="A103" s="9" t="inlineStr">
        <is>
          <t>1405-0102</t>
        </is>
      </c>
      <c r="B103" s="9" t="inlineStr">
        <is>
          <t>فروشگاه شهر کتاب مرکزی</t>
        </is>
      </c>
      <c r="C103" s="9" t="inlineStr">
        <is>
          <t>حقوق و دستمزد</t>
        </is>
      </c>
      <c r="D103" s="9" t="inlineStr">
        <is>
          <t>ارسال/پرداخت لیست بیمه ماه فروردین</t>
        </is>
      </c>
      <c r="E103" s="9" t="inlineStr">
        <is>
          <t>ماهانه</t>
        </is>
      </c>
      <c r="F103" s="9" t="inlineStr">
        <is>
          <t>فروردین</t>
        </is>
      </c>
      <c r="G103" s="10" t="n">
        <v>46163</v>
      </c>
      <c r="H103" s="9" t="inlineStr">
        <is>
          <t>1405/02/31</t>
        </is>
      </c>
      <c r="I103" s="9" t="n">
        <v>7</v>
      </c>
      <c r="J103" s="10">
        <f>IF(G103="","",G103-I103)</f>
        <v/>
      </c>
      <c r="K103" s="9" t="inlineStr">
        <is>
          <t>خیلی بالا</t>
        </is>
      </c>
      <c r="L103" s="9" t="inlineStr">
        <is>
          <t>باز</t>
        </is>
      </c>
      <c r="M103" s="9">
        <f>IF(D103="","",IF(L103="انجام شده","انجام شده",IF(L103="لغو شده","لغو شده",IF(G103&lt;TODAY(),"عقب‌افتاده",IF(G103=TODAY(),"امروز",IF(G103&lt;=TODAY()+7,"تا ۷ روز",IF(G103&lt;=TODAY()+15,"تا ۱۵ روز","آینده")))))))</f>
        <v/>
      </c>
      <c r="N103" s="9" t="inlineStr"/>
      <c r="O103" s="9" t="n">
        <v>0</v>
      </c>
      <c r="P103" s="10" t="n"/>
      <c r="Q103" s="9" t="inlineStr"/>
      <c r="R103" s="9" t="inlineStr">
        <is>
          <t>پیش‌فرض 1405</t>
        </is>
      </c>
      <c r="S103" s="9" t="inlineStr">
        <is>
          <t>T106</t>
        </is>
      </c>
      <c r="T103" s="9" t="inlineStr">
        <is>
          <t>بله</t>
        </is>
      </c>
    </row>
    <row r="104">
      <c r="A104" s="9" t="inlineStr">
        <is>
          <t>1405-0103</t>
        </is>
      </c>
      <c r="B104" s="9" t="inlineStr">
        <is>
          <t>فروشگاه شهر کتاب مرکزی</t>
        </is>
      </c>
      <c r="C104" s="9" t="inlineStr">
        <is>
          <t>حقوق و دستمزد</t>
        </is>
      </c>
      <c r="D104" s="9" t="inlineStr">
        <is>
          <t>ارسال/پرداخت مالیات حقوق ماه فروردین</t>
        </is>
      </c>
      <c r="E104" s="9" t="inlineStr">
        <is>
          <t>ماهانه</t>
        </is>
      </c>
      <c r="F104" s="9" t="inlineStr">
        <is>
          <t>فروردین</t>
        </is>
      </c>
      <c r="G104" s="10" t="n">
        <v>46163</v>
      </c>
      <c r="H104" s="9" t="inlineStr">
        <is>
          <t>1405/02/31</t>
        </is>
      </c>
      <c r="I104" s="9" t="n">
        <v>7</v>
      </c>
      <c r="J104" s="10">
        <f>IF(G104="","",G104-I104)</f>
        <v/>
      </c>
      <c r="K104" s="9" t="inlineStr">
        <is>
          <t>خیلی بالا</t>
        </is>
      </c>
      <c r="L104" s="9" t="inlineStr">
        <is>
          <t>باز</t>
        </is>
      </c>
      <c r="M104" s="9">
        <f>IF(D104="","",IF(L104="انجام شده","انجام شده",IF(L104="لغو شده","لغو شده",IF(G104&lt;TODAY(),"عقب‌افتاده",IF(G104=TODAY(),"امروز",IF(G104&lt;=TODAY()+7,"تا ۷ روز",IF(G104&lt;=TODAY()+15,"تا ۱۵ روز","آینده")))))))</f>
        <v/>
      </c>
      <c r="N104" s="9" t="inlineStr"/>
      <c r="O104" s="9" t="n">
        <v>0</v>
      </c>
      <c r="P104" s="10" t="n"/>
      <c r="Q104" s="9" t="inlineStr"/>
      <c r="R104" s="9" t="inlineStr">
        <is>
          <t>پیش‌فرض 1405</t>
        </is>
      </c>
      <c r="S104" s="9" t="inlineStr">
        <is>
          <t>T107</t>
        </is>
      </c>
      <c r="T104" s="9" t="inlineStr">
        <is>
          <t>بله</t>
        </is>
      </c>
    </row>
    <row r="105">
      <c r="A105" s="9" t="inlineStr">
        <is>
          <t>1405-0104</t>
        </is>
      </c>
      <c r="B105" s="9" t="inlineStr">
        <is>
          <t>فروشگاه شهر کتاب مرکزی</t>
        </is>
      </c>
      <c r="C105" s="9" t="inlineStr">
        <is>
          <t>بایگانی</t>
        </is>
      </c>
      <c r="D105" s="9" t="inlineStr">
        <is>
          <t>بایگانی مدارک و اسناد ماه فروردین</t>
        </is>
      </c>
      <c r="E105" s="9" t="inlineStr">
        <is>
          <t>ماهانه</t>
        </is>
      </c>
      <c r="F105" s="9" t="inlineStr">
        <is>
          <t>فروردین</t>
        </is>
      </c>
      <c r="G105" s="10" t="n">
        <v>46147</v>
      </c>
      <c r="H105" s="9" t="inlineStr">
        <is>
          <t>1405/02/15</t>
        </is>
      </c>
      <c r="I105" s="9" t="n">
        <v>3</v>
      </c>
      <c r="J105" s="10">
        <f>IF(G105="","",G105-I105)</f>
        <v/>
      </c>
      <c r="K105" s="9" t="inlineStr">
        <is>
          <t>متوسط</t>
        </is>
      </c>
      <c r="L105" s="9" t="inlineStr">
        <is>
          <t>باز</t>
        </is>
      </c>
      <c r="M105" s="9">
        <f>IF(D105="","",IF(L105="انجام شده","انجام شده",IF(L105="لغو شده","لغو شده",IF(G105&lt;TODAY(),"عقب‌افتاده",IF(G105=TODAY(),"امروز",IF(G105&lt;=TODAY()+7,"تا ۷ روز",IF(G105&lt;=TODAY()+15,"تا ۱۵ روز","آینده")))))))</f>
        <v/>
      </c>
      <c r="N105" s="9" t="inlineStr"/>
      <c r="O105" s="9" t="n">
        <v>0</v>
      </c>
      <c r="P105" s="10" t="n"/>
      <c r="Q105" s="9" t="inlineStr"/>
      <c r="R105" s="9" t="inlineStr">
        <is>
          <t>پیش‌فرض 1405</t>
        </is>
      </c>
      <c r="S105" s="9" t="inlineStr">
        <is>
          <t>T108</t>
        </is>
      </c>
      <c r="T105" s="9" t="inlineStr">
        <is>
          <t>بله</t>
        </is>
      </c>
    </row>
    <row r="106">
      <c r="A106" s="9" t="inlineStr">
        <is>
          <t>1405-0105</t>
        </is>
      </c>
      <c r="B106" s="9" t="inlineStr">
        <is>
          <t>فروشگاه شهر کتاب مرکزی</t>
        </is>
      </c>
      <c r="C106" s="9" t="inlineStr">
        <is>
          <t>پایان ماه</t>
        </is>
      </c>
      <c r="D106" s="9" t="inlineStr">
        <is>
          <t>مغایرت‌گیری بانکی ماه اردیبهشت</t>
        </is>
      </c>
      <c r="E106" s="9" t="inlineStr">
        <is>
          <t>ماهانه</t>
        </is>
      </c>
      <c r="F106" s="9" t="inlineStr">
        <is>
          <t>اردیبهشت</t>
        </is>
      </c>
      <c r="G106" s="10" t="n">
        <v>46168</v>
      </c>
      <c r="H106" s="9" t="inlineStr">
        <is>
          <t>1405/03/05</t>
        </is>
      </c>
      <c r="I106" s="9" t="n">
        <v>5</v>
      </c>
      <c r="J106" s="10">
        <f>IF(G106="","",G106-I106)</f>
        <v/>
      </c>
      <c r="K106" s="9" t="inlineStr">
        <is>
          <t>بالا</t>
        </is>
      </c>
      <c r="L106" s="9" t="inlineStr">
        <is>
          <t>باز</t>
        </is>
      </c>
      <c r="M106" s="9">
        <f>IF(D106="","",IF(L106="انجام شده","انجام شده",IF(L106="لغو شده","لغو شده",IF(G106&lt;TODAY(),"عقب‌افتاده",IF(G106=TODAY(),"امروز",IF(G106&lt;=TODAY()+7,"تا ۷ روز",IF(G106&lt;=TODAY()+15,"تا ۱۵ روز","آینده")))))))</f>
        <v/>
      </c>
      <c r="N106" s="9" t="inlineStr"/>
      <c r="O106" s="9" t="n">
        <v>0</v>
      </c>
      <c r="P106" s="10" t="n"/>
      <c r="Q106" s="9" t="inlineStr"/>
      <c r="R106" s="9" t="inlineStr">
        <is>
          <t>پیش‌فرض 1405</t>
        </is>
      </c>
      <c r="S106" s="9" t="inlineStr">
        <is>
          <t>T101</t>
        </is>
      </c>
      <c r="T106" s="9" t="inlineStr">
        <is>
          <t>بله</t>
        </is>
      </c>
    </row>
    <row r="107">
      <c r="A107" s="9" t="inlineStr">
        <is>
          <t>1405-0106</t>
        </is>
      </c>
      <c r="B107" s="9" t="inlineStr">
        <is>
          <t>فروشگاه شهر کتاب مرکزی</t>
        </is>
      </c>
      <c r="C107" s="9" t="inlineStr">
        <is>
          <t>پایان ماه</t>
        </is>
      </c>
      <c r="D107" s="9" t="inlineStr">
        <is>
          <t>کنترل نهایی اسناد ماه اردیبهشت</t>
        </is>
      </c>
      <c r="E107" s="9" t="inlineStr">
        <is>
          <t>ماهانه</t>
        </is>
      </c>
      <c r="F107" s="9" t="inlineStr">
        <is>
          <t>اردیبهشت</t>
        </is>
      </c>
      <c r="G107" s="10" t="n">
        <v>46170</v>
      </c>
      <c r="H107" s="9" t="inlineStr">
        <is>
          <t>1405/03/07</t>
        </is>
      </c>
      <c r="I107" s="9" t="n">
        <v>5</v>
      </c>
      <c r="J107" s="10">
        <f>IF(G107="","",G107-I107)</f>
        <v/>
      </c>
      <c r="K107" s="9" t="inlineStr">
        <is>
          <t>بالا</t>
        </is>
      </c>
      <c r="L107" s="9" t="inlineStr">
        <is>
          <t>باز</t>
        </is>
      </c>
      <c r="M107" s="9">
        <f>IF(D107="","",IF(L107="انجام شده","انجام شده",IF(L107="لغو شده","لغو شده",IF(G107&lt;TODAY(),"عقب‌افتاده",IF(G107=TODAY(),"امروز",IF(G107&lt;=TODAY()+7,"تا ۷ روز",IF(G107&lt;=TODAY()+15,"تا ۱۵ روز","آینده")))))))</f>
        <v/>
      </c>
      <c r="N107" s="9" t="inlineStr"/>
      <c r="O107" s="9" t="n">
        <v>0</v>
      </c>
      <c r="P107" s="10" t="n"/>
      <c r="Q107" s="9" t="inlineStr"/>
      <c r="R107" s="9" t="inlineStr">
        <is>
          <t>پیش‌فرض 1405</t>
        </is>
      </c>
      <c r="S107" s="9" t="inlineStr">
        <is>
          <t>T102</t>
        </is>
      </c>
      <c r="T107" s="9" t="inlineStr">
        <is>
          <t>بله</t>
        </is>
      </c>
    </row>
    <row r="108">
      <c r="A108" s="9" t="inlineStr">
        <is>
          <t>1405-0107</t>
        </is>
      </c>
      <c r="B108" s="9" t="inlineStr">
        <is>
          <t>فروشگاه شهر کتاب مرکزی</t>
        </is>
      </c>
      <c r="C108" s="9" t="inlineStr">
        <is>
          <t>پایان ماه</t>
        </is>
      </c>
      <c r="D108" s="9" t="inlineStr">
        <is>
          <t>بستن حساب‌های ماه اردیبهشت و کنترل مانده‌ها</t>
        </is>
      </c>
      <c r="E108" s="9" t="inlineStr">
        <is>
          <t>ماهانه</t>
        </is>
      </c>
      <c r="F108" s="9" t="inlineStr">
        <is>
          <t>اردیبهشت</t>
        </is>
      </c>
      <c r="G108" s="10" t="n">
        <v>46173</v>
      </c>
      <c r="H108" s="9" t="inlineStr">
        <is>
          <t>1405/03/10</t>
        </is>
      </c>
      <c r="I108" s="9" t="n">
        <v>7</v>
      </c>
      <c r="J108" s="10">
        <f>IF(G108="","",G108-I108)</f>
        <v/>
      </c>
      <c r="K108" s="9" t="inlineStr">
        <is>
          <t>بالا</t>
        </is>
      </c>
      <c r="L108" s="9" t="inlineStr">
        <is>
          <t>باز</t>
        </is>
      </c>
      <c r="M108" s="9">
        <f>IF(D108="","",IF(L108="انجام شده","انجام شده",IF(L108="لغو شده","لغو شده",IF(G108&lt;TODAY(),"عقب‌افتاده",IF(G108=TODAY(),"امروز",IF(G108&lt;=TODAY()+7,"تا ۷ روز",IF(G108&lt;=TODAY()+15,"تا ۱۵ روز","آینده")))))))</f>
        <v/>
      </c>
      <c r="N108" s="9" t="inlineStr"/>
      <c r="O108" s="9" t="n">
        <v>0</v>
      </c>
      <c r="P108" s="10" t="n"/>
      <c r="Q108" s="9" t="inlineStr"/>
      <c r="R108" s="9" t="inlineStr">
        <is>
          <t>پیش‌فرض 1405</t>
        </is>
      </c>
      <c r="S108" s="9" t="inlineStr">
        <is>
          <t>T103</t>
        </is>
      </c>
      <c r="T108" s="9" t="inlineStr">
        <is>
          <t>بله</t>
        </is>
      </c>
    </row>
    <row r="109">
      <c r="A109" s="9" t="inlineStr">
        <is>
          <t>1405-0108</t>
        </is>
      </c>
      <c r="B109" s="9" t="inlineStr">
        <is>
          <t>فروشگاه شهر کتاب مرکزی</t>
        </is>
      </c>
      <c r="C109" s="9" t="inlineStr">
        <is>
          <t>گزارش</t>
        </is>
      </c>
      <c r="D109" s="9" t="inlineStr">
        <is>
          <t>تهیه گزارش مدیریت ماه اردیبهشت</t>
        </is>
      </c>
      <c r="E109" s="9" t="inlineStr">
        <is>
          <t>ماهانه</t>
        </is>
      </c>
      <c r="F109" s="9" t="inlineStr">
        <is>
          <t>اردیبهشت</t>
        </is>
      </c>
      <c r="G109" s="10" t="n">
        <v>46173</v>
      </c>
      <c r="H109" s="9" t="inlineStr">
        <is>
          <t>1405/03/10</t>
        </is>
      </c>
      <c r="I109" s="9" t="n">
        <v>5</v>
      </c>
      <c r="J109" s="10">
        <f>IF(G109="","",G109-I109)</f>
        <v/>
      </c>
      <c r="K109" s="9" t="inlineStr">
        <is>
          <t>متوسط</t>
        </is>
      </c>
      <c r="L109" s="9" t="inlineStr">
        <is>
          <t>باز</t>
        </is>
      </c>
      <c r="M109" s="9">
        <f>IF(D109="","",IF(L109="انجام شده","انجام شده",IF(L109="لغو شده","لغو شده",IF(G109&lt;TODAY(),"عقب‌افتاده",IF(G109=TODAY(),"امروز",IF(G109&lt;=TODAY()+7,"تا ۷ روز",IF(G109&lt;=TODAY()+15,"تا ۱۵ روز","آینده")))))))</f>
        <v/>
      </c>
      <c r="N109" s="9" t="inlineStr"/>
      <c r="O109" s="9" t="n">
        <v>0</v>
      </c>
      <c r="P109" s="10" t="n"/>
      <c r="Q109" s="9" t="inlineStr"/>
      <c r="R109" s="9" t="inlineStr">
        <is>
          <t>پیش‌فرض 1405</t>
        </is>
      </c>
      <c r="S109" s="9" t="inlineStr">
        <is>
          <t>T104</t>
        </is>
      </c>
      <c r="T109" s="9" t="inlineStr">
        <is>
          <t>بله</t>
        </is>
      </c>
    </row>
    <row r="110">
      <c r="A110" s="9" t="inlineStr">
        <is>
          <t>1405-0109</t>
        </is>
      </c>
      <c r="B110" s="9" t="inlineStr">
        <is>
          <t>فروشگاه شهر کتاب مرکزی</t>
        </is>
      </c>
      <c r="C110" s="9" t="inlineStr">
        <is>
          <t>حقوق و دستمزد</t>
        </is>
      </c>
      <c r="D110" s="9" t="inlineStr">
        <is>
          <t>محاسبه حقوق و دستمزد ماه اردیبهشت</t>
        </is>
      </c>
      <c r="E110" s="9" t="inlineStr">
        <is>
          <t>ماهانه</t>
        </is>
      </c>
      <c r="F110" s="9" t="inlineStr">
        <is>
          <t>اردیبهشت</t>
        </is>
      </c>
      <c r="G110" s="10" t="n">
        <v>46160</v>
      </c>
      <c r="H110" s="9" t="inlineStr">
        <is>
          <t>1405/02/28</t>
        </is>
      </c>
      <c r="I110" s="9" t="n">
        <v>5</v>
      </c>
      <c r="J110" s="10">
        <f>IF(G110="","",G110-I110)</f>
        <v/>
      </c>
      <c r="K110" s="9" t="inlineStr">
        <is>
          <t>بالا</t>
        </is>
      </c>
      <c r="L110" s="9" t="inlineStr">
        <is>
          <t>باز</t>
        </is>
      </c>
      <c r="M110" s="9">
        <f>IF(D110="","",IF(L110="انجام شده","انجام شده",IF(L110="لغو شده","لغو شده",IF(G110&lt;TODAY(),"عقب‌افتاده",IF(G110=TODAY(),"امروز",IF(G110&lt;=TODAY()+7,"تا ۷ روز",IF(G110&lt;=TODAY()+15,"تا ۱۵ روز","آینده")))))))</f>
        <v/>
      </c>
      <c r="N110" s="9" t="inlineStr"/>
      <c r="O110" s="9" t="n">
        <v>0</v>
      </c>
      <c r="P110" s="10" t="n"/>
      <c r="Q110" s="9" t="inlineStr"/>
      <c r="R110" s="9" t="inlineStr">
        <is>
          <t>پیش‌فرض 1405</t>
        </is>
      </c>
      <c r="S110" s="9" t="inlineStr">
        <is>
          <t>T105</t>
        </is>
      </c>
      <c r="T110" s="9" t="inlineStr">
        <is>
          <t>بله</t>
        </is>
      </c>
    </row>
    <row r="111">
      <c r="A111" s="9" t="inlineStr">
        <is>
          <t>1405-0110</t>
        </is>
      </c>
      <c r="B111" s="9" t="inlineStr">
        <is>
          <t>فروشگاه شهر کتاب مرکزی</t>
        </is>
      </c>
      <c r="C111" s="9" t="inlineStr">
        <is>
          <t>حقوق و دستمزد</t>
        </is>
      </c>
      <c r="D111" s="9" t="inlineStr">
        <is>
          <t>ارسال/پرداخت لیست بیمه ماه اردیبهشت</t>
        </is>
      </c>
      <c r="E111" s="9" t="inlineStr">
        <is>
          <t>ماهانه</t>
        </is>
      </c>
      <c r="F111" s="9" t="inlineStr">
        <is>
          <t>اردیبهشت</t>
        </is>
      </c>
      <c r="G111" s="10" t="n">
        <v>46194</v>
      </c>
      <c r="H111" s="9" t="inlineStr">
        <is>
          <t>1405/03/31</t>
        </is>
      </c>
      <c r="I111" s="9" t="n">
        <v>7</v>
      </c>
      <c r="J111" s="10">
        <f>IF(G111="","",G111-I111)</f>
        <v/>
      </c>
      <c r="K111" s="9" t="inlineStr">
        <is>
          <t>خیلی بالا</t>
        </is>
      </c>
      <c r="L111" s="9" t="inlineStr">
        <is>
          <t>باز</t>
        </is>
      </c>
      <c r="M111" s="9">
        <f>IF(D111="","",IF(L111="انجام شده","انجام شده",IF(L111="لغو شده","لغو شده",IF(G111&lt;TODAY(),"عقب‌افتاده",IF(G111=TODAY(),"امروز",IF(G111&lt;=TODAY()+7,"تا ۷ روز",IF(G111&lt;=TODAY()+15,"تا ۱۵ روز","آینده")))))))</f>
        <v/>
      </c>
      <c r="N111" s="9" t="inlineStr"/>
      <c r="O111" s="9" t="n">
        <v>0</v>
      </c>
      <c r="P111" s="10" t="n"/>
      <c r="Q111" s="9" t="inlineStr"/>
      <c r="R111" s="9" t="inlineStr">
        <is>
          <t>پیش‌فرض 1405</t>
        </is>
      </c>
      <c r="S111" s="9" t="inlineStr">
        <is>
          <t>T106</t>
        </is>
      </c>
      <c r="T111" s="9" t="inlineStr">
        <is>
          <t>بله</t>
        </is>
      </c>
    </row>
    <row r="112">
      <c r="A112" s="9" t="inlineStr">
        <is>
          <t>1405-0111</t>
        </is>
      </c>
      <c r="B112" s="9" t="inlineStr">
        <is>
          <t>فروشگاه شهر کتاب مرکزی</t>
        </is>
      </c>
      <c r="C112" s="9" t="inlineStr">
        <is>
          <t>حقوق و دستمزد</t>
        </is>
      </c>
      <c r="D112" s="9" t="inlineStr">
        <is>
          <t>ارسال/پرداخت مالیات حقوق ماه اردیبهشت</t>
        </is>
      </c>
      <c r="E112" s="9" t="inlineStr">
        <is>
          <t>ماهانه</t>
        </is>
      </c>
      <c r="F112" s="9" t="inlineStr">
        <is>
          <t>اردیبهشت</t>
        </is>
      </c>
      <c r="G112" s="10" t="n">
        <v>46194</v>
      </c>
      <c r="H112" s="9" t="inlineStr">
        <is>
          <t>1405/03/31</t>
        </is>
      </c>
      <c r="I112" s="9" t="n">
        <v>7</v>
      </c>
      <c r="J112" s="10">
        <f>IF(G112="","",G112-I112)</f>
        <v/>
      </c>
      <c r="K112" s="9" t="inlineStr">
        <is>
          <t>خیلی بالا</t>
        </is>
      </c>
      <c r="L112" s="9" t="inlineStr">
        <is>
          <t>باز</t>
        </is>
      </c>
      <c r="M112" s="9">
        <f>IF(D112="","",IF(L112="انجام شده","انجام شده",IF(L112="لغو شده","لغو شده",IF(G112&lt;TODAY(),"عقب‌افتاده",IF(G112=TODAY(),"امروز",IF(G112&lt;=TODAY()+7,"تا ۷ روز",IF(G112&lt;=TODAY()+15,"تا ۱۵ روز","آینده")))))))</f>
        <v/>
      </c>
      <c r="N112" s="9" t="inlineStr"/>
      <c r="O112" s="9" t="n">
        <v>0</v>
      </c>
      <c r="P112" s="10" t="n"/>
      <c r="Q112" s="9" t="inlineStr"/>
      <c r="R112" s="9" t="inlineStr">
        <is>
          <t>پیش‌فرض 1405</t>
        </is>
      </c>
      <c r="S112" s="9" t="inlineStr">
        <is>
          <t>T107</t>
        </is>
      </c>
      <c r="T112" s="9" t="inlineStr">
        <is>
          <t>بله</t>
        </is>
      </c>
    </row>
    <row r="113">
      <c r="A113" s="9" t="inlineStr">
        <is>
          <t>1405-0112</t>
        </is>
      </c>
      <c r="B113" s="9" t="inlineStr">
        <is>
          <t>فروشگاه شهر کتاب مرکزی</t>
        </is>
      </c>
      <c r="C113" s="9" t="inlineStr">
        <is>
          <t>بایگانی</t>
        </is>
      </c>
      <c r="D113" s="9" t="inlineStr">
        <is>
          <t>بایگانی مدارک و اسناد ماه اردیبهشت</t>
        </is>
      </c>
      <c r="E113" s="9" t="inlineStr">
        <is>
          <t>ماهانه</t>
        </is>
      </c>
      <c r="F113" s="9" t="inlineStr">
        <is>
          <t>اردیبهشت</t>
        </is>
      </c>
      <c r="G113" s="10" t="n">
        <v>46178</v>
      </c>
      <c r="H113" s="9" t="inlineStr">
        <is>
          <t>1405/03/15</t>
        </is>
      </c>
      <c r="I113" s="9" t="n">
        <v>3</v>
      </c>
      <c r="J113" s="10">
        <f>IF(G113="","",G113-I113)</f>
        <v/>
      </c>
      <c r="K113" s="9" t="inlineStr">
        <is>
          <t>متوسط</t>
        </is>
      </c>
      <c r="L113" s="9" t="inlineStr">
        <is>
          <t>باز</t>
        </is>
      </c>
      <c r="M113" s="9">
        <f>IF(D113="","",IF(L113="انجام شده","انجام شده",IF(L113="لغو شده","لغو شده",IF(G113&lt;TODAY(),"عقب‌افتاده",IF(G113=TODAY(),"امروز",IF(G113&lt;=TODAY()+7,"تا ۷ روز",IF(G113&lt;=TODAY()+15,"تا ۱۵ روز","آینده")))))))</f>
        <v/>
      </c>
      <c r="N113" s="9" t="inlineStr"/>
      <c r="O113" s="9" t="n">
        <v>0</v>
      </c>
      <c r="P113" s="10" t="n"/>
      <c r="Q113" s="9" t="inlineStr"/>
      <c r="R113" s="9" t="inlineStr">
        <is>
          <t>پیش‌فرض 1405</t>
        </is>
      </c>
      <c r="S113" s="9" t="inlineStr">
        <is>
          <t>T108</t>
        </is>
      </c>
      <c r="T113" s="9" t="inlineStr">
        <is>
          <t>بله</t>
        </is>
      </c>
    </row>
    <row r="114">
      <c r="A114" s="9" t="inlineStr">
        <is>
          <t>1405-0113</t>
        </is>
      </c>
      <c r="B114" s="9" t="inlineStr">
        <is>
          <t>فروشگاه شهر کتاب مرکزی</t>
        </is>
      </c>
      <c r="C114" s="9" t="inlineStr">
        <is>
          <t>پایان ماه</t>
        </is>
      </c>
      <c r="D114" s="9" t="inlineStr">
        <is>
          <t>مغایرت‌گیری بانکی ماه خرداد</t>
        </is>
      </c>
      <c r="E114" s="9" t="inlineStr">
        <is>
          <t>ماهانه</t>
        </is>
      </c>
      <c r="F114" s="9" t="inlineStr">
        <is>
          <t>خرداد</t>
        </is>
      </c>
      <c r="G114" s="10" t="n">
        <v>46199</v>
      </c>
      <c r="H114" s="9" t="inlineStr">
        <is>
          <t>1405/04/05</t>
        </is>
      </c>
      <c r="I114" s="9" t="n">
        <v>5</v>
      </c>
      <c r="J114" s="10">
        <f>IF(G114="","",G114-I114)</f>
        <v/>
      </c>
      <c r="K114" s="9" t="inlineStr">
        <is>
          <t>بالا</t>
        </is>
      </c>
      <c r="L114" s="9" t="inlineStr">
        <is>
          <t>باز</t>
        </is>
      </c>
      <c r="M114" s="9">
        <f>IF(D114="","",IF(L114="انجام شده","انجام شده",IF(L114="لغو شده","لغو شده",IF(G114&lt;TODAY(),"عقب‌افتاده",IF(G114=TODAY(),"امروز",IF(G114&lt;=TODAY()+7,"تا ۷ روز",IF(G114&lt;=TODAY()+15,"تا ۱۵ روز","آینده")))))))</f>
        <v/>
      </c>
      <c r="N114" s="9" t="inlineStr"/>
      <c r="O114" s="9" t="n">
        <v>0</v>
      </c>
      <c r="P114" s="10" t="n"/>
      <c r="Q114" s="9" t="inlineStr"/>
      <c r="R114" s="9" t="inlineStr">
        <is>
          <t>پیش‌فرض 1405</t>
        </is>
      </c>
      <c r="S114" s="9" t="inlineStr">
        <is>
          <t>T101</t>
        </is>
      </c>
      <c r="T114" s="9" t="inlineStr">
        <is>
          <t>بله</t>
        </is>
      </c>
    </row>
    <row r="115">
      <c r="A115" s="9" t="inlineStr">
        <is>
          <t>1405-0114</t>
        </is>
      </c>
      <c r="B115" s="9" t="inlineStr">
        <is>
          <t>فروشگاه شهر کتاب مرکزی</t>
        </is>
      </c>
      <c r="C115" s="9" t="inlineStr">
        <is>
          <t>پایان ماه</t>
        </is>
      </c>
      <c r="D115" s="9" t="inlineStr">
        <is>
          <t>کنترل نهایی اسناد ماه خرداد</t>
        </is>
      </c>
      <c r="E115" s="9" t="inlineStr">
        <is>
          <t>ماهانه</t>
        </is>
      </c>
      <c r="F115" s="9" t="inlineStr">
        <is>
          <t>خرداد</t>
        </is>
      </c>
      <c r="G115" s="10" t="n">
        <v>46201</v>
      </c>
      <c r="H115" s="9" t="inlineStr">
        <is>
          <t>1405/04/07</t>
        </is>
      </c>
      <c r="I115" s="9" t="n">
        <v>5</v>
      </c>
      <c r="J115" s="10">
        <f>IF(G115="","",G115-I115)</f>
        <v/>
      </c>
      <c r="K115" s="9" t="inlineStr">
        <is>
          <t>بالا</t>
        </is>
      </c>
      <c r="L115" s="9" t="inlineStr">
        <is>
          <t>باز</t>
        </is>
      </c>
      <c r="M115" s="9">
        <f>IF(D115="","",IF(L115="انجام شده","انجام شده",IF(L115="لغو شده","لغو شده",IF(G115&lt;TODAY(),"عقب‌افتاده",IF(G115=TODAY(),"امروز",IF(G115&lt;=TODAY()+7,"تا ۷ روز",IF(G115&lt;=TODAY()+15,"تا ۱۵ روز","آینده")))))))</f>
        <v/>
      </c>
      <c r="N115" s="9" t="inlineStr"/>
      <c r="O115" s="9" t="n">
        <v>0</v>
      </c>
      <c r="P115" s="10" t="n"/>
      <c r="Q115" s="9" t="inlineStr"/>
      <c r="R115" s="9" t="inlineStr">
        <is>
          <t>پیش‌فرض 1405</t>
        </is>
      </c>
      <c r="S115" s="9" t="inlineStr">
        <is>
          <t>T102</t>
        </is>
      </c>
      <c r="T115" s="9" t="inlineStr">
        <is>
          <t>بله</t>
        </is>
      </c>
    </row>
    <row r="116">
      <c r="A116" s="9" t="inlineStr">
        <is>
          <t>1405-0115</t>
        </is>
      </c>
      <c r="B116" s="9" t="inlineStr">
        <is>
          <t>فروشگاه شهر کتاب مرکزی</t>
        </is>
      </c>
      <c r="C116" s="9" t="inlineStr">
        <is>
          <t>پایان ماه</t>
        </is>
      </c>
      <c r="D116" s="9" t="inlineStr">
        <is>
          <t>بستن حساب‌های ماه خرداد و کنترل مانده‌ها</t>
        </is>
      </c>
      <c r="E116" s="9" t="inlineStr">
        <is>
          <t>ماهانه</t>
        </is>
      </c>
      <c r="F116" s="9" t="inlineStr">
        <is>
          <t>خرداد</t>
        </is>
      </c>
      <c r="G116" s="10" t="n">
        <v>46204</v>
      </c>
      <c r="H116" s="9" t="inlineStr">
        <is>
          <t>1405/04/10</t>
        </is>
      </c>
      <c r="I116" s="9" t="n">
        <v>7</v>
      </c>
      <c r="J116" s="10">
        <f>IF(G116="","",G116-I116)</f>
        <v/>
      </c>
      <c r="K116" s="9" t="inlineStr">
        <is>
          <t>بالا</t>
        </is>
      </c>
      <c r="L116" s="9" t="inlineStr">
        <is>
          <t>باز</t>
        </is>
      </c>
      <c r="M116" s="9">
        <f>IF(D116="","",IF(L116="انجام شده","انجام شده",IF(L116="لغو شده","لغو شده",IF(G116&lt;TODAY(),"عقب‌افتاده",IF(G116=TODAY(),"امروز",IF(G116&lt;=TODAY()+7,"تا ۷ روز",IF(G116&lt;=TODAY()+15,"تا ۱۵ روز","آینده")))))))</f>
        <v/>
      </c>
      <c r="N116" s="9" t="inlineStr"/>
      <c r="O116" s="9" t="n">
        <v>0</v>
      </c>
      <c r="P116" s="10" t="n"/>
      <c r="Q116" s="9" t="inlineStr"/>
      <c r="R116" s="9" t="inlineStr">
        <is>
          <t>پیش‌فرض 1405</t>
        </is>
      </c>
      <c r="S116" s="9" t="inlineStr">
        <is>
          <t>T103</t>
        </is>
      </c>
      <c r="T116" s="9" t="inlineStr">
        <is>
          <t>بله</t>
        </is>
      </c>
    </row>
    <row r="117">
      <c r="A117" s="9" t="inlineStr">
        <is>
          <t>1405-0116</t>
        </is>
      </c>
      <c r="B117" s="9" t="inlineStr">
        <is>
          <t>فروشگاه شهر کتاب مرکزی</t>
        </is>
      </c>
      <c r="C117" s="9" t="inlineStr">
        <is>
          <t>گزارش</t>
        </is>
      </c>
      <c r="D117" s="9" t="inlineStr">
        <is>
          <t>تهیه گزارش مدیریت ماه خرداد</t>
        </is>
      </c>
      <c r="E117" s="9" t="inlineStr">
        <is>
          <t>ماهانه</t>
        </is>
      </c>
      <c r="F117" s="9" t="inlineStr">
        <is>
          <t>خرداد</t>
        </is>
      </c>
      <c r="G117" s="10" t="n">
        <v>46204</v>
      </c>
      <c r="H117" s="9" t="inlineStr">
        <is>
          <t>1405/04/10</t>
        </is>
      </c>
      <c r="I117" s="9" t="n">
        <v>5</v>
      </c>
      <c r="J117" s="10">
        <f>IF(G117="","",G117-I117)</f>
        <v/>
      </c>
      <c r="K117" s="9" t="inlineStr">
        <is>
          <t>متوسط</t>
        </is>
      </c>
      <c r="L117" s="9" t="inlineStr">
        <is>
          <t>باز</t>
        </is>
      </c>
      <c r="M117" s="9">
        <f>IF(D117="","",IF(L117="انجام شده","انجام شده",IF(L117="لغو شده","لغو شده",IF(G117&lt;TODAY(),"عقب‌افتاده",IF(G117=TODAY(),"امروز",IF(G117&lt;=TODAY()+7,"تا ۷ روز",IF(G117&lt;=TODAY()+15,"تا ۱۵ روز","آینده")))))))</f>
        <v/>
      </c>
      <c r="N117" s="9" t="inlineStr"/>
      <c r="O117" s="9" t="n">
        <v>0</v>
      </c>
      <c r="P117" s="10" t="n"/>
      <c r="Q117" s="9" t="inlineStr"/>
      <c r="R117" s="9" t="inlineStr">
        <is>
          <t>پیش‌فرض 1405</t>
        </is>
      </c>
      <c r="S117" s="9" t="inlineStr">
        <is>
          <t>T104</t>
        </is>
      </c>
      <c r="T117" s="9" t="inlineStr">
        <is>
          <t>بله</t>
        </is>
      </c>
    </row>
    <row r="118">
      <c r="A118" s="9" t="inlineStr">
        <is>
          <t>1405-0117</t>
        </is>
      </c>
      <c r="B118" s="9" t="inlineStr">
        <is>
          <t>فروشگاه شهر کتاب مرکزی</t>
        </is>
      </c>
      <c r="C118" s="9" t="inlineStr">
        <is>
          <t>حقوق و دستمزد</t>
        </is>
      </c>
      <c r="D118" s="9" t="inlineStr">
        <is>
          <t>محاسبه حقوق و دستمزد ماه خرداد</t>
        </is>
      </c>
      <c r="E118" s="9" t="inlineStr">
        <is>
          <t>ماهانه</t>
        </is>
      </c>
      <c r="F118" s="9" t="inlineStr">
        <is>
          <t>خرداد</t>
        </is>
      </c>
      <c r="G118" s="10" t="n">
        <v>46191</v>
      </c>
      <c r="H118" s="9" t="inlineStr">
        <is>
          <t>1405/03/28</t>
        </is>
      </c>
      <c r="I118" s="9" t="n">
        <v>5</v>
      </c>
      <c r="J118" s="10">
        <f>IF(G118="","",G118-I118)</f>
        <v/>
      </c>
      <c r="K118" s="9" t="inlineStr">
        <is>
          <t>بالا</t>
        </is>
      </c>
      <c r="L118" s="9" t="inlineStr">
        <is>
          <t>باز</t>
        </is>
      </c>
      <c r="M118" s="9">
        <f>IF(D118="","",IF(L118="انجام شده","انجام شده",IF(L118="لغو شده","لغو شده",IF(G118&lt;TODAY(),"عقب‌افتاده",IF(G118=TODAY(),"امروز",IF(G118&lt;=TODAY()+7,"تا ۷ روز",IF(G118&lt;=TODAY()+15,"تا ۱۵ روز","آینده")))))))</f>
        <v/>
      </c>
      <c r="N118" s="9" t="inlineStr"/>
      <c r="O118" s="9" t="n">
        <v>0</v>
      </c>
      <c r="P118" s="10" t="n"/>
      <c r="Q118" s="9" t="inlineStr"/>
      <c r="R118" s="9" t="inlineStr">
        <is>
          <t>پیش‌فرض 1405</t>
        </is>
      </c>
      <c r="S118" s="9" t="inlineStr">
        <is>
          <t>T105</t>
        </is>
      </c>
      <c r="T118" s="9" t="inlineStr">
        <is>
          <t>بله</t>
        </is>
      </c>
    </row>
    <row r="119">
      <c r="A119" s="9" t="inlineStr">
        <is>
          <t>1405-0118</t>
        </is>
      </c>
      <c r="B119" s="9" t="inlineStr">
        <is>
          <t>فروشگاه شهر کتاب مرکزی</t>
        </is>
      </c>
      <c r="C119" s="9" t="inlineStr">
        <is>
          <t>حقوق و دستمزد</t>
        </is>
      </c>
      <c r="D119" s="9" t="inlineStr">
        <is>
          <t>ارسال/پرداخت لیست بیمه ماه خرداد</t>
        </is>
      </c>
      <c r="E119" s="9" t="inlineStr">
        <is>
          <t>ماهانه</t>
        </is>
      </c>
      <c r="F119" s="9" t="inlineStr">
        <is>
          <t>خرداد</t>
        </is>
      </c>
      <c r="G119" s="10" t="n">
        <v>46225</v>
      </c>
      <c r="H119" s="9" t="inlineStr">
        <is>
          <t>1405/04/31</t>
        </is>
      </c>
      <c r="I119" s="9" t="n">
        <v>7</v>
      </c>
      <c r="J119" s="10">
        <f>IF(G119="","",G119-I119)</f>
        <v/>
      </c>
      <c r="K119" s="9" t="inlineStr">
        <is>
          <t>خیلی بالا</t>
        </is>
      </c>
      <c r="L119" s="9" t="inlineStr">
        <is>
          <t>باز</t>
        </is>
      </c>
      <c r="M119" s="9">
        <f>IF(D119="","",IF(L119="انجام شده","انجام شده",IF(L119="لغو شده","لغو شده",IF(G119&lt;TODAY(),"عقب‌افتاده",IF(G119=TODAY(),"امروز",IF(G119&lt;=TODAY()+7,"تا ۷ روز",IF(G119&lt;=TODAY()+15,"تا ۱۵ روز","آینده")))))))</f>
        <v/>
      </c>
      <c r="N119" s="9" t="inlineStr"/>
      <c r="O119" s="9" t="n">
        <v>0</v>
      </c>
      <c r="P119" s="10" t="n"/>
      <c r="Q119" s="9" t="inlineStr"/>
      <c r="R119" s="9" t="inlineStr">
        <is>
          <t>پیش‌فرض 1405</t>
        </is>
      </c>
      <c r="S119" s="9" t="inlineStr">
        <is>
          <t>T106</t>
        </is>
      </c>
      <c r="T119" s="9" t="inlineStr">
        <is>
          <t>بله</t>
        </is>
      </c>
    </row>
    <row r="120">
      <c r="A120" s="9" t="inlineStr">
        <is>
          <t>1405-0119</t>
        </is>
      </c>
      <c r="B120" s="9" t="inlineStr">
        <is>
          <t>فروشگاه شهر کتاب مرکزی</t>
        </is>
      </c>
      <c r="C120" s="9" t="inlineStr">
        <is>
          <t>حقوق و دستمزد</t>
        </is>
      </c>
      <c r="D120" s="9" t="inlineStr">
        <is>
          <t>ارسال/پرداخت مالیات حقوق ماه خرداد</t>
        </is>
      </c>
      <c r="E120" s="9" t="inlineStr">
        <is>
          <t>ماهانه</t>
        </is>
      </c>
      <c r="F120" s="9" t="inlineStr">
        <is>
          <t>خرداد</t>
        </is>
      </c>
      <c r="G120" s="10" t="n">
        <v>46225</v>
      </c>
      <c r="H120" s="9" t="inlineStr">
        <is>
          <t>1405/04/31</t>
        </is>
      </c>
      <c r="I120" s="9" t="n">
        <v>7</v>
      </c>
      <c r="J120" s="10">
        <f>IF(G120="","",G120-I120)</f>
        <v/>
      </c>
      <c r="K120" s="9" t="inlineStr">
        <is>
          <t>خیلی بالا</t>
        </is>
      </c>
      <c r="L120" s="9" t="inlineStr">
        <is>
          <t>باز</t>
        </is>
      </c>
      <c r="M120" s="9">
        <f>IF(D120="","",IF(L120="انجام شده","انجام شده",IF(L120="لغو شده","لغو شده",IF(G120&lt;TODAY(),"عقب‌افتاده",IF(G120=TODAY(),"امروز",IF(G120&lt;=TODAY()+7,"تا ۷ روز",IF(G120&lt;=TODAY()+15,"تا ۱۵ روز","آینده")))))))</f>
        <v/>
      </c>
      <c r="N120" s="9" t="inlineStr"/>
      <c r="O120" s="9" t="n">
        <v>0</v>
      </c>
      <c r="P120" s="10" t="n"/>
      <c r="Q120" s="9" t="inlineStr"/>
      <c r="R120" s="9" t="inlineStr">
        <is>
          <t>پیش‌فرض 1405</t>
        </is>
      </c>
      <c r="S120" s="9" t="inlineStr">
        <is>
          <t>T107</t>
        </is>
      </c>
      <c r="T120" s="9" t="inlineStr">
        <is>
          <t>بله</t>
        </is>
      </c>
    </row>
    <row r="121">
      <c r="A121" s="9" t="inlineStr">
        <is>
          <t>1405-0120</t>
        </is>
      </c>
      <c r="B121" s="9" t="inlineStr">
        <is>
          <t>فروشگاه شهر کتاب مرکزی</t>
        </is>
      </c>
      <c r="C121" s="9" t="inlineStr">
        <is>
          <t>بایگانی</t>
        </is>
      </c>
      <c r="D121" s="9" t="inlineStr">
        <is>
          <t>بایگانی مدارک و اسناد ماه خرداد</t>
        </is>
      </c>
      <c r="E121" s="9" t="inlineStr">
        <is>
          <t>ماهانه</t>
        </is>
      </c>
      <c r="F121" s="9" t="inlineStr">
        <is>
          <t>خرداد</t>
        </is>
      </c>
      <c r="G121" s="10" t="n">
        <v>46209</v>
      </c>
      <c r="H121" s="9" t="inlineStr">
        <is>
          <t>1405/04/15</t>
        </is>
      </c>
      <c r="I121" s="9" t="n">
        <v>3</v>
      </c>
      <c r="J121" s="10">
        <f>IF(G121="","",G121-I121)</f>
        <v/>
      </c>
      <c r="K121" s="9" t="inlineStr">
        <is>
          <t>متوسط</t>
        </is>
      </c>
      <c r="L121" s="9" t="inlineStr">
        <is>
          <t>باز</t>
        </is>
      </c>
      <c r="M121" s="9">
        <f>IF(D121="","",IF(L121="انجام شده","انجام شده",IF(L121="لغو شده","لغو شده",IF(G121&lt;TODAY(),"عقب‌افتاده",IF(G121=TODAY(),"امروز",IF(G121&lt;=TODAY()+7,"تا ۷ روز",IF(G121&lt;=TODAY()+15,"تا ۱۵ روز","آینده")))))))</f>
        <v/>
      </c>
      <c r="N121" s="9" t="inlineStr"/>
      <c r="O121" s="9" t="n">
        <v>0</v>
      </c>
      <c r="P121" s="10" t="n"/>
      <c r="Q121" s="9" t="inlineStr"/>
      <c r="R121" s="9" t="inlineStr">
        <is>
          <t>پیش‌فرض 1405</t>
        </is>
      </c>
      <c r="S121" s="9" t="inlineStr">
        <is>
          <t>T108</t>
        </is>
      </c>
      <c r="T121" s="9" t="inlineStr">
        <is>
          <t>بله</t>
        </is>
      </c>
    </row>
    <row r="122">
      <c r="A122" s="9" t="inlineStr">
        <is>
          <t>1405-0121</t>
        </is>
      </c>
      <c r="B122" s="9" t="inlineStr">
        <is>
          <t>فروشگاه شهر کتاب مرکزی</t>
        </is>
      </c>
      <c r="C122" s="9" t="inlineStr">
        <is>
          <t>پایان ماه</t>
        </is>
      </c>
      <c r="D122" s="9" t="inlineStr">
        <is>
          <t>مغایرت‌گیری بانکی ماه تیر</t>
        </is>
      </c>
      <c r="E122" s="9" t="inlineStr">
        <is>
          <t>ماهانه</t>
        </is>
      </c>
      <c r="F122" s="9" t="inlineStr">
        <is>
          <t>تیر</t>
        </is>
      </c>
      <c r="G122" s="10" t="n">
        <v>46230</v>
      </c>
      <c r="H122" s="9" t="inlineStr">
        <is>
          <t>1405/05/05</t>
        </is>
      </c>
      <c r="I122" s="9" t="n">
        <v>5</v>
      </c>
      <c r="J122" s="10">
        <f>IF(G122="","",G122-I122)</f>
        <v/>
      </c>
      <c r="K122" s="9" t="inlineStr">
        <is>
          <t>بالا</t>
        </is>
      </c>
      <c r="L122" s="9" t="inlineStr">
        <is>
          <t>باز</t>
        </is>
      </c>
      <c r="M122" s="9">
        <f>IF(D122="","",IF(L122="انجام شده","انجام شده",IF(L122="لغو شده","لغو شده",IF(G122&lt;TODAY(),"عقب‌افتاده",IF(G122=TODAY(),"امروز",IF(G122&lt;=TODAY()+7,"تا ۷ روز",IF(G122&lt;=TODAY()+15,"تا ۱۵ روز","آینده")))))))</f>
        <v/>
      </c>
      <c r="N122" s="9" t="inlineStr"/>
      <c r="O122" s="9" t="n">
        <v>0</v>
      </c>
      <c r="P122" s="10" t="n"/>
      <c r="Q122" s="9" t="inlineStr"/>
      <c r="R122" s="9" t="inlineStr">
        <is>
          <t>پیش‌فرض 1405</t>
        </is>
      </c>
      <c r="S122" s="9" t="inlineStr">
        <is>
          <t>T101</t>
        </is>
      </c>
      <c r="T122" s="9" t="inlineStr">
        <is>
          <t>بله</t>
        </is>
      </c>
    </row>
    <row r="123">
      <c r="A123" s="9" t="inlineStr">
        <is>
          <t>1405-0122</t>
        </is>
      </c>
      <c r="B123" s="9" t="inlineStr">
        <is>
          <t>فروشگاه شهر کتاب مرکزی</t>
        </is>
      </c>
      <c r="C123" s="9" t="inlineStr">
        <is>
          <t>پایان ماه</t>
        </is>
      </c>
      <c r="D123" s="9" t="inlineStr">
        <is>
          <t>کنترل نهایی اسناد ماه تیر</t>
        </is>
      </c>
      <c r="E123" s="9" t="inlineStr">
        <is>
          <t>ماهانه</t>
        </is>
      </c>
      <c r="F123" s="9" t="inlineStr">
        <is>
          <t>تیر</t>
        </is>
      </c>
      <c r="G123" s="10" t="n">
        <v>46232</v>
      </c>
      <c r="H123" s="9" t="inlineStr">
        <is>
          <t>1405/05/07</t>
        </is>
      </c>
      <c r="I123" s="9" t="n">
        <v>5</v>
      </c>
      <c r="J123" s="10">
        <f>IF(G123="","",G123-I123)</f>
        <v/>
      </c>
      <c r="K123" s="9" t="inlineStr">
        <is>
          <t>بالا</t>
        </is>
      </c>
      <c r="L123" s="9" t="inlineStr">
        <is>
          <t>باز</t>
        </is>
      </c>
      <c r="M123" s="9">
        <f>IF(D123="","",IF(L123="انجام شده","انجام شده",IF(L123="لغو شده","لغو شده",IF(G123&lt;TODAY(),"عقب‌افتاده",IF(G123=TODAY(),"امروز",IF(G123&lt;=TODAY()+7,"تا ۷ روز",IF(G123&lt;=TODAY()+15,"تا ۱۵ روز","آینده")))))))</f>
        <v/>
      </c>
      <c r="N123" s="9" t="inlineStr"/>
      <c r="O123" s="9" t="n">
        <v>0</v>
      </c>
      <c r="P123" s="10" t="n"/>
      <c r="Q123" s="9" t="inlineStr"/>
      <c r="R123" s="9" t="inlineStr">
        <is>
          <t>پیش‌فرض 1405</t>
        </is>
      </c>
      <c r="S123" s="9" t="inlineStr">
        <is>
          <t>T102</t>
        </is>
      </c>
      <c r="T123" s="9" t="inlineStr">
        <is>
          <t>بله</t>
        </is>
      </c>
    </row>
    <row r="124">
      <c r="A124" s="9" t="inlineStr">
        <is>
          <t>1405-0123</t>
        </is>
      </c>
      <c r="B124" s="9" t="inlineStr">
        <is>
          <t>فروشگاه شهر کتاب مرکزی</t>
        </is>
      </c>
      <c r="C124" s="9" t="inlineStr">
        <is>
          <t>پایان ماه</t>
        </is>
      </c>
      <c r="D124" s="9" t="inlineStr">
        <is>
          <t>بستن حساب‌های ماه تیر و کنترل مانده‌ها</t>
        </is>
      </c>
      <c r="E124" s="9" t="inlineStr">
        <is>
          <t>ماهانه</t>
        </is>
      </c>
      <c r="F124" s="9" t="inlineStr">
        <is>
          <t>تیر</t>
        </is>
      </c>
      <c r="G124" s="10" t="n">
        <v>46235</v>
      </c>
      <c r="H124" s="9" t="inlineStr">
        <is>
          <t>1405/05/10</t>
        </is>
      </c>
      <c r="I124" s="9" t="n">
        <v>7</v>
      </c>
      <c r="J124" s="10">
        <f>IF(G124="","",G124-I124)</f>
        <v/>
      </c>
      <c r="K124" s="9" t="inlineStr">
        <is>
          <t>بالا</t>
        </is>
      </c>
      <c r="L124" s="9" t="inlineStr">
        <is>
          <t>باز</t>
        </is>
      </c>
      <c r="M124" s="9">
        <f>IF(D124="","",IF(L124="انجام شده","انجام شده",IF(L124="لغو شده","لغو شده",IF(G124&lt;TODAY(),"عقب‌افتاده",IF(G124=TODAY(),"امروز",IF(G124&lt;=TODAY()+7,"تا ۷ روز",IF(G124&lt;=TODAY()+15,"تا ۱۵ روز","آینده")))))))</f>
        <v/>
      </c>
      <c r="N124" s="9" t="inlineStr"/>
      <c r="O124" s="9" t="n">
        <v>0</v>
      </c>
      <c r="P124" s="10" t="n"/>
      <c r="Q124" s="9" t="inlineStr"/>
      <c r="R124" s="9" t="inlineStr">
        <is>
          <t>پیش‌فرض 1405</t>
        </is>
      </c>
      <c r="S124" s="9" t="inlineStr">
        <is>
          <t>T103</t>
        </is>
      </c>
      <c r="T124" s="9" t="inlineStr">
        <is>
          <t>بله</t>
        </is>
      </c>
    </row>
    <row r="125">
      <c r="A125" s="9" t="inlineStr">
        <is>
          <t>1405-0124</t>
        </is>
      </c>
      <c r="B125" s="9" t="inlineStr">
        <is>
          <t>فروشگاه شهر کتاب مرکزی</t>
        </is>
      </c>
      <c r="C125" s="9" t="inlineStr">
        <is>
          <t>گزارش</t>
        </is>
      </c>
      <c r="D125" s="9" t="inlineStr">
        <is>
          <t>تهیه گزارش مدیریت ماه تیر</t>
        </is>
      </c>
      <c r="E125" s="9" t="inlineStr">
        <is>
          <t>ماهانه</t>
        </is>
      </c>
      <c r="F125" s="9" t="inlineStr">
        <is>
          <t>تیر</t>
        </is>
      </c>
      <c r="G125" s="10" t="n">
        <v>46235</v>
      </c>
      <c r="H125" s="9" t="inlineStr">
        <is>
          <t>1405/05/10</t>
        </is>
      </c>
      <c r="I125" s="9" t="n">
        <v>5</v>
      </c>
      <c r="J125" s="10">
        <f>IF(G125="","",G125-I125)</f>
        <v/>
      </c>
      <c r="K125" s="9" t="inlineStr">
        <is>
          <t>متوسط</t>
        </is>
      </c>
      <c r="L125" s="9" t="inlineStr">
        <is>
          <t>باز</t>
        </is>
      </c>
      <c r="M125" s="9">
        <f>IF(D125="","",IF(L125="انجام شده","انجام شده",IF(L125="لغو شده","لغو شده",IF(G125&lt;TODAY(),"عقب‌افتاده",IF(G125=TODAY(),"امروز",IF(G125&lt;=TODAY()+7,"تا ۷ روز",IF(G125&lt;=TODAY()+15,"تا ۱۵ روز","آینده")))))))</f>
        <v/>
      </c>
      <c r="N125" s="9" t="inlineStr"/>
      <c r="O125" s="9" t="n">
        <v>0</v>
      </c>
      <c r="P125" s="10" t="n"/>
      <c r="Q125" s="9" t="inlineStr"/>
      <c r="R125" s="9" t="inlineStr">
        <is>
          <t>پیش‌فرض 1405</t>
        </is>
      </c>
      <c r="S125" s="9" t="inlineStr">
        <is>
          <t>T104</t>
        </is>
      </c>
      <c r="T125" s="9" t="inlineStr">
        <is>
          <t>بله</t>
        </is>
      </c>
    </row>
    <row r="126">
      <c r="A126" s="9" t="inlineStr">
        <is>
          <t>1405-0125</t>
        </is>
      </c>
      <c r="B126" s="9" t="inlineStr">
        <is>
          <t>فروشگاه شهر کتاب مرکزی</t>
        </is>
      </c>
      <c r="C126" s="9" t="inlineStr">
        <is>
          <t>حقوق و دستمزد</t>
        </is>
      </c>
      <c r="D126" s="9" t="inlineStr">
        <is>
          <t>محاسبه حقوق و دستمزد ماه تیر</t>
        </is>
      </c>
      <c r="E126" s="9" t="inlineStr">
        <is>
          <t>ماهانه</t>
        </is>
      </c>
      <c r="F126" s="9" t="inlineStr">
        <is>
          <t>تیر</t>
        </is>
      </c>
      <c r="G126" s="10" t="n">
        <v>46222</v>
      </c>
      <c r="H126" s="9" t="inlineStr">
        <is>
          <t>1405/04/28</t>
        </is>
      </c>
      <c r="I126" s="9" t="n">
        <v>5</v>
      </c>
      <c r="J126" s="10">
        <f>IF(G126="","",G126-I126)</f>
        <v/>
      </c>
      <c r="K126" s="9" t="inlineStr">
        <is>
          <t>بالا</t>
        </is>
      </c>
      <c r="L126" s="9" t="inlineStr">
        <is>
          <t>باز</t>
        </is>
      </c>
      <c r="M126" s="9">
        <f>IF(D126="","",IF(L126="انجام شده","انجام شده",IF(L126="لغو شده","لغو شده",IF(G126&lt;TODAY(),"عقب‌افتاده",IF(G126=TODAY(),"امروز",IF(G126&lt;=TODAY()+7,"تا ۷ روز",IF(G126&lt;=TODAY()+15,"تا ۱۵ روز","آینده")))))))</f>
        <v/>
      </c>
      <c r="N126" s="9" t="inlineStr"/>
      <c r="O126" s="9" t="n">
        <v>0</v>
      </c>
      <c r="P126" s="10" t="n"/>
      <c r="Q126" s="9" t="inlineStr"/>
      <c r="R126" s="9" t="inlineStr">
        <is>
          <t>پیش‌فرض 1405</t>
        </is>
      </c>
      <c r="S126" s="9" t="inlineStr">
        <is>
          <t>T105</t>
        </is>
      </c>
      <c r="T126" s="9" t="inlineStr">
        <is>
          <t>بله</t>
        </is>
      </c>
    </row>
    <row r="127">
      <c r="A127" s="9" t="inlineStr">
        <is>
          <t>1405-0126</t>
        </is>
      </c>
      <c r="B127" s="9" t="inlineStr">
        <is>
          <t>فروشگاه شهر کتاب مرکزی</t>
        </is>
      </c>
      <c r="C127" s="9" t="inlineStr">
        <is>
          <t>حقوق و دستمزد</t>
        </is>
      </c>
      <c r="D127" s="9" t="inlineStr">
        <is>
          <t>ارسال/پرداخت لیست بیمه ماه تیر</t>
        </is>
      </c>
      <c r="E127" s="9" t="inlineStr">
        <is>
          <t>ماهانه</t>
        </is>
      </c>
      <c r="F127" s="9" t="inlineStr">
        <is>
          <t>تیر</t>
        </is>
      </c>
      <c r="G127" s="10" t="n">
        <v>46256</v>
      </c>
      <c r="H127" s="9" t="inlineStr">
        <is>
          <t>1405/05/31</t>
        </is>
      </c>
      <c r="I127" s="9" t="n">
        <v>7</v>
      </c>
      <c r="J127" s="10">
        <f>IF(G127="","",G127-I127)</f>
        <v/>
      </c>
      <c r="K127" s="9" t="inlineStr">
        <is>
          <t>خیلی بالا</t>
        </is>
      </c>
      <c r="L127" s="9" t="inlineStr">
        <is>
          <t>باز</t>
        </is>
      </c>
      <c r="M127" s="9">
        <f>IF(D127="","",IF(L127="انجام شده","انجام شده",IF(L127="لغو شده","لغو شده",IF(G127&lt;TODAY(),"عقب‌افتاده",IF(G127=TODAY(),"امروز",IF(G127&lt;=TODAY()+7,"تا ۷ روز",IF(G127&lt;=TODAY()+15,"تا ۱۵ روز","آینده")))))))</f>
        <v/>
      </c>
      <c r="N127" s="9" t="inlineStr"/>
      <c r="O127" s="9" t="n">
        <v>0</v>
      </c>
      <c r="P127" s="10" t="n"/>
      <c r="Q127" s="9" t="inlineStr"/>
      <c r="R127" s="9" t="inlineStr">
        <is>
          <t>پیش‌فرض 1405</t>
        </is>
      </c>
      <c r="S127" s="9" t="inlineStr">
        <is>
          <t>T106</t>
        </is>
      </c>
      <c r="T127" s="9" t="inlineStr">
        <is>
          <t>بله</t>
        </is>
      </c>
    </row>
    <row r="128">
      <c r="A128" s="9" t="inlineStr">
        <is>
          <t>1405-0127</t>
        </is>
      </c>
      <c r="B128" s="9" t="inlineStr">
        <is>
          <t>فروشگاه شهر کتاب مرکزی</t>
        </is>
      </c>
      <c r="C128" s="9" t="inlineStr">
        <is>
          <t>حقوق و دستمزد</t>
        </is>
      </c>
      <c r="D128" s="9" t="inlineStr">
        <is>
          <t>ارسال/پرداخت مالیات حقوق ماه تیر</t>
        </is>
      </c>
      <c r="E128" s="9" t="inlineStr">
        <is>
          <t>ماهانه</t>
        </is>
      </c>
      <c r="F128" s="9" t="inlineStr">
        <is>
          <t>تیر</t>
        </is>
      </c>
      <c r="G128" s="10" t="n">
        <v>46256</v>
      </c>
      <c r="H128" s="9" t="inlineStr">
        <is>
          <t>1405/05/31</t>
        </is>
      </c>
      <c r="I128" s="9" t="n">
        <v>7</v>
      </c>
      <c r="J128" s="10">
        <f>IF(G128="","",G128-I128)</f>
        <v/>
      </c>
      <c r="K128" s="9" t="inlineStr">
        <is>
          <t>خیلی بالا</t>
        </is>
      </c>
      <c r="L128" s="9" t="inlineStr">
        <is>
          <t>باز</t>
        </is>
      </c>
      <c r="M128" s="9">
        <f>IF(D128="","",IF(L128="انجام شده","انجام شده",IF(L128="لغو شده","لغو شده",IF(G128&lt;TODAY(),"عقب‌افتاده",IF(G128=TODAY(),"امروز",IF(G128&lt;=TODAY()+7,"تا ۷ روز",IF(G128&lt;=TODAY()+15,"تا ۱۵ روز","آینده")))))))</f>
        <v/>
      </c>
      <c r="N128" s="9" t="inlineStr"/>
      <c r="O128" s="9" t="n">
        <v>0</v>
      </c>
      <c r="P128" s="10" t="n"/>
      <c r="Q128" s="9" t="inlineStr"/>
      <c r="R128" s="9" t="inlineStr">
        <is>
          <t>پیش‌فرض 1405</t>
        </is>
      </c>
      <c r="S128" s="9" t="inlineStr">
        <is>
          <t>T107</t>
        </is>
      </c>
      <c r="T128" s="9" t="inlineStr">
        <is>
          <t>بله</t>
        </is>
      </c>
    </row>
    <row r="129">
      <c r="A129" s="9" t="inlineStr">
        <is>
          <t>1405-0128</t>
        </is>
      </c>
      <c r="B129" s="9" t="inlineStr">
        <is>
          <t>فروشگاه شهر کتاب مرکزی</t>
        </is>
      </c>
      <c r="C129" s="9" t="inlineStr">
        <is>
          <t>بایگانی</t>
        </is>
      </c>
      <c r="D129" s="9" t="inlineStr">
        <is>
          <t>بایگانی مدارک و اسناد ماه تیر</t>
        </is>
      </c>
      <c r="E129" s="9" t="inlineStr">
        <is>
          <t>ماهانه</t>
        </is>
      </c>
      <c r="F129" s="9" t="inlineStr">
        <is>
          <t>تیر</t>
        </is>
      </c>
      <c r="G129" s="10" t="n">
        <v>46240</v>
      </c>
      <c r="H129" s="9" t="inlineStr">
        <is>
          <t>1405/05/15</t>
        </is>
      </c>
      <c r="I129" s="9" t="n">
        <v>3</v>
      </c>
      <c r="J129" s="10">
        <f>IF(G129="","",G129-I129)</f>
        <v/>
      </c>
      <c r="K129" s="9" t="inlineStr">
        <is>
          <t>متوسط</t>
        </is>
      </c>
      <c r="L129" s="9" t="inlineStr">
        <is>
          <t>باز</t>
        </is>
      </c>
      <c r="M129" s="9">
        <f>IF(D129="","",IF(L129="انجام شده","انجام شده",IF(L129="لغو شده","لغو شده",IF(G129&lt;TODAY(),"عقب‌افتاده",IF(G129=TODAY(),"امروز",IF(G129&lt;=TODAY()+7,"تا ۷ روز",IF(G129&lt;=TODAY()+15,"تا ۱۵ روز","آینده")))))))</f>
        <v/>
      </c>
      <c r="N129" s="9" t="inlineStr"/>
      <c r="O129" s="9" t="n">
        <v>0</v>
      </c>
      <c r="P129" s="10" t="n"/>
      <c r="Q129" s="9" t="inlineStr"/>
      <c r="R129" s="9" t="inlineStr">
        <is>
          <t>پیش‌فرض 1405</t>
        </is>
      </c>
      <c r="S129" s="9" t="inlineStr">
        <is>
          <t>T108</t>
        </is>
      </c>
      <c r="T129" s="9" t="inlineStr">
        <is>
          <t>بله</t>
        </is>
      </c>
    </row>
    <row r="130">
      <c r="A130" s="9" t="inlineStr">
        <is>
          <t>1405-0129</t>
        </is>
      </c>
      <c r="B130" s="9" t="inlineStr">
        <is>
          <t>فروشگاه شهر کتاب مرکزی</t>
        </is>
      </c>
      <c r="C130" s="9" t="inlineStr">
        <is>
          <t>پایان ماه</t>
        </is>
      </c>
      <c r="D130" s="9" t="inlineStr">
        <is>
          <t>مغایرت‌گیری بانکی ماه مرداد</t>
        </is>
      </c>
      <c r="E130" s="9" t="inlineStr">
        <is>
          <t>ماهانه</t>
        </is>
      </c>
      <c r="F130" s="9" t="inlineStr">
        <is>
          <t>مرداد</t>
        </is>
      </c>
      <c r="G130" s="10" t="n">
        <v>46261</v>
      </c>
      <c r="H130" s="9" t="inlineStr">
        <is>
          <t>1405/06/05</t>
        </is>
      </c>
      <c r="I130" s="9" t="n">
        <v>5</v>
      </c>
      <c r="J130" s="10">
        <f>IF(G130="","",G130-I130)</f>
        <v/>
      </c>
      <c r="K130" s="9" t="inlineStr">
        <is>
          <t>بالا</t>
        </is>
      </c>
      <c r="L130" s="9" t="inlineStr">
        <is>
          <t>باز</t>
        </is>
      </c>
      <c r="M130" s="9">
        <f>IF(D130="","",IF(L130="انجام شده","انجام شده",IF(L130="لغو شده","لغو شده",IF(G130&lt;TODAY(),"عقب‌افتاده",IF(G130=TODAY(),"امروز",IF(G130&lt;=TODAY()+7,"تا ۷ روز",IF(G130&lt;=TODAY()+15,"تا ۱۵ روز","آینده")))))))</f>
        <v/>
      </c>
      <c r="N130" s="9" t="inlineStr"/>
      <c r="O130" s="9" t="n">
        <v>0</v>
      </c>
      <c r="P130" s="10" t="n"/>
      <c r="Q130" s="9" t="inlineStr"/>
      <c r="R130" s="9" t="inlineStr">
        <is>
          <t>پیش‌فرض 1405</t>
        </is>
      </c>
      <c r="S130" s="9" t="inlineStr">
        <is>
          <t>T101</t>
        </is>
      </c>
      <c r="T130" s="9" t="inlineStr">
        <is>
          <t>بله</t>
        </is>
      </c>
    </row>
    <row r="131">
      <c r="A131" s="9" t="inlineStr">
        <is>
          <t>1405-0130</t>
        </is>
      </c>
      <c r="B131" s="9" t="inlineStr">
        <is>
          <t>فروشگاه شهر کتاب مرکزی</t>
        </is>
      </c>
      <c r="C131" s="9" t="inlineStr">
        <is>
          <t>پایان ماه</t>
        </is>
      </c>
      <c r="D131" s="9" t="inlineStr">
        <is>
          <t>کنترل نهایی اسناد ماه مرداد</t>
        </is>
      </c>
      <c r="E131" s="9" t="inlineStr">
        <is>
          <t>ماهانه</t>
        </is>
      </c>
      <c r="F131" s="9" t="inlineStr">
        <is>
          <t>مرداد</t>
        </is>
      </c>
      <c r="G131" s="10" t="n">
        <v>46263</v>
      </c>
      <c r="H131" s="9" t="inlineStr">
        <is>
          <t>1405/06/07</t>
        </is>
      </c>
      <c r="I131" s="9" t="n">
        <v>5</v>
      </c>
      <c r="J131" s="10">
        <f>IF(G131="","",G131-I131)</f>
        <v/>
      </c>
      <c r="K131" s="9" t="inlineStr">
        <is>
          <t>بالا</t>
        </is>
      </c>
      <c r="L131" s="9" t="inlineStr">
        <is>
          <t>باز</t>
        </is>
      </c>
      <c r="M131" s="9">
        <f>IF(D131="","",IF(L131="انجام شده","انجام شده",IF(L131="لغو شده","لغو شده",IF(G131&lt;TODAY(),"عقب‌افتاده",IF(G131=TODAY(),"امروز",IF(G131&lt;=TODAY()+7,"تا ۷ روز",IF(G131&lt;=TODAY()+15,"تا ۱۵ روز","آینده")))))))</f>
        <v/>
      </c>
      <c r="N131" s="9" t="inlineStr"/>
      <c r="O131" s="9" t="n">
        <v>0</v>
      </c>
      <c r="P131" s="10" t="n"/>
      <c r="Q131" s="9" t="inlineStr"/>
      <c r="R131" s="9" t="inlineStr">
        <is>
          <t>پیش‌فرض 1405</t>
        </is>
      </c>
      <c r="S131" s="9" t="inlineStr">
        <is>
          <t>T102</t>
        </is>
      </c>
      <c r="T131" s="9" t="inlineStr">
        <is>
          <t>بله</t>
        </is>
      </c>
    </row>
    <row r="132">
      <c r="A132" s="9" t="inlineStr">
        <is>
          <t>1405-0131</t>
        </is>
      </c>
      <c r="B132" s="9" t="inlineStr">
        <is>
          <t>فروشگاه شهر کتاب مرکزی</t>
        </is>
      </c>
      <c r="C132" s="9" t="inlineStr">
        <is>
          <t>پایان ماه</t>
        </is>
      </c>
      <c r="D132" s="9" t="inlineStr">
        <is>
          <t>بستن حساب‌های ماه مرداد و کنترل مانده‌ها</t>
        </is>
      </c>
      <c r="E132" s="9" t="inlineStr">
        <is>
          <t>ماهانه</t>
        </is>
      </c>
      <c r="F132" s="9" t="inlineStr">
        <is>
          <t>مرداد</t>
        </is>
      </c>
      <c r="G132" s="10" t="n">
        <v>46266</v>
      </c>
      <c r="H132" s="9" t="inlineStr">
        <is>
          <t>1405/06/10</t>
        </is>
      </c>
      <c r="I132" s="9" t="n">
        <v>7</v>
      </c>
      <c r="J132" s="10">
        <f>IF(G132="","",G132-I132)</f>
        <v/>
      </c>
      <c r="K132" s="9" t="inlineStr">
        <is>
          <t>بالا</t>
        </is>
      </c>
      <c r="L132" s="9" t="inlineStr">
        <is>
          <t>باز</t>
        </is>
      </c>
      <c r="M132" s="9">
        <f>IF(D132="","",IF(L132="انجام شده","انجام شده",IF(L132="لغو شده","لغو شده",IF(G132&lt;TODAY(),"عقب‌افتاده",IF(G132=TODAY(),"امروز",IF(G132&lt;=TODAY()+7,"تا ۷ روز",IF(G132&lt;=TODAY()+15,"تا ۱۵ روز","آینده")))))))</f>
        <v/>
      </c>
      <c r="N132" s="9" t="inlineStr"/>
      <c r="O132" s="9" t="n">
        <v>0</v>
      </c>
      <c r="P132" s="10" t="n"/>
      <c r="Q132" s="9" t="inlineStr"/>
      <c r="R132" s="9" t="inlineStr">
        <is>
          <t>پیش‌فرض 1405</t>
        </is>
      </c>
      <c r="S132" s="9" t="inlineStr">
        <is>
          <t>T103</t>
        </is>
      </c>
      <c r="T132" s="9" t="inlineStr">
        <is>
          <t>بله</t>
        </is>
      </c>
    </row>
    <row r="133">
      <c r="A133" s="9" t="inlineStr">
        <is>
          <t>1405-0132</t>
        </is>
      </c>
      <c r="B133" s="9" t="inlineStr">
        <is>
          <t>فروشگاه شهر کتاب مرکزی</t>
        </is>
      </c>
      <c r="C133" s="9" t="inlineStr">
        <is>
          <t>گزارش</t>
        </is>
      </c>
      <c r="D133" s="9" t="inlineStr">
        <is>
          <t>تهیه گزارش مدیریت ماه مرداد</t>
        </is>
      </c>
      <c r="E133" s="9" t="inlineStr">
        <is>
          <t>ماهانه</t>
        </is>
      </c>
      <c r="F133" s="9" t="inlineStr">
        <is>
          <t>مرداد</t>
        </is>
      </c>
      <c r="G133" s="10" t="n">
        <v>46266</v>
      </c>
      <c r="H133" s="9" t="inlineStr">
        <is>
          <t>1405/06/10</t>
        </is>
      </c>
      <c r="I133" s="9" t="n">
        <v>5</v>
      </c>
      <c r="J133" s="10">
        <f>IF(G133="","",G133-I133)</f>
        <v/>
      </c>
      <c r="K133" s="9" t="inlineStr">
        <is>
          <t>متوسط</t>
        </is>
      </c>
      <c r="L133" s="9" t="inlineStr">
        <is>
          <t>باز</t>
        </is>
      </c>
      <c r="M133" s="9">
        <f>IF(D133="","",IF(L133="انجام شده","انجام شده",IF(L133="لغو شده","لغو شده",IF(G133&lt;TODAY(),"عقب‌افتاده",IF(G133=TODAY(),"امروز",IF(G133&lt;=TODAY()+7,"تا ۷ روز",IF(G133&lt;=TODAY()+15,"تا ۱۵ روز","آینده")))))))</f>
        <v/>
      </c>
      <c r="N133" s="9" t="inlineStr"/>
      <c r="O133" s="9" t="n">
        <v>0</v>
      </c>
      <c r="P133" s="10" t="n"/>
      <c r="Q133" s="9" t="inlineStr"/>
      <c r="R133" s="9" t="inlineStr">
        <is>
          <t>پیش‌فرض 1405</t>
        </is>
      </c>
      <c r="S133" s="9" t="inlineStr">
        <is>
          <t>T104</t>
        </is>
      </c>
      <c r="T133" s="9" t="inlineStr">
        <is>
          <t>بله</t>
        </is>
      </c>
    </row>
    <row r="134">
      <c r="A134" s="9" t="inlineStr">
        <is>
          <t>1405-0133</t>
        </is>
      </c>
      <c r="B134" s="9" t="inlineStr">
        <is>
          <t>فروشگاه شهر کتاب مرکزی</t>
        </is>
      </c>
      <c r="C134" s="9" t="inlineStr">
        <is>
          <t>حقوق و دستمزد</t>
        </is>
      </c>
      <c r="D134" s="9" t="inlineStr">
        <is>
          <t>محاسبه حقوق و دستمزد ماه مرداد</t>
        </is>
      </c>
      <c r="E134" s="9" t="inlineStr">
        <is>
          <t>ماهانه</t>
        </is>
      </c>
      <c r="F134" s="9" t="inlineStr">
        <is>
          <t>مرداد</t>
        </is>
      </c>
      <c r="G134" s="10" t="n">
        <v>46253</v>
      </c>
      <c r="H134" s="9" t="inlineStr">
        <is>
          <t>1405/05/28</t>
        </is>
      </c>
      <c r="I134" s="9" t="n">
        <v>5</v>
      </c>
      <c r="J134" s="10">
        <f>IF(G134="","",G134-I134)</f>
        <v/>
      </c>
      <c r="K134" s="9" t="inlineStr">
        <is>
          <t>بالا</t>
        </is>
      </c>
      <c r="L134" s="9" t="inlineStr">
        <is>
          <t>باز</t>
        </is>
      </c>
      <c r="M134" s="9">
        <f>IF(D134="","",IF(L134="انجام شده","انجام شده",IF(L134="لغو شده","لغو شده",IF(G134&lt;TODAY(),"عقب‌افتاده",IF(G134=TODAY(),"امروز",IF(G134&lt;=TODAY()+7,"تا ۷ روز",IF(G134&lt;=TODAY()+15,"تا ۱۵ روز","آینده")))))))</f>
        <v/>
      </c>
      <c r="N134" s="9" t="inlineStr"/>
      <c r="O134" s="9" t="n">
        <v>0</v>
      </c>
      <c r="P134" s="10" t="n"/>
      <c r="Q134" s="9" t="inlineStr"/>
      <c r="R134" s="9" t="inlineStr">
        <is>
          <t>پیش‌فرض 1405</t>
        </is>
      </c>
      <c r="S134" s="9" t="inlineStr">
        <is>
          <t>T105</t>
        </is>
      </c>
      <c r="T134" s="9" t="inlineStr">
        <is>
          <t>بله</t>
        </is>
      </c>
    </row>
    <row r="135">
      <c r="A135" s="9" t="inlineStr">
        <is>
          <t>1405-0134</t>
        </is>
      </c>
      <c r="B135" s="9" t="inlineStr">
        <is>
          <t>فروشگاه شهر کتاب مرکزی</t>
        </is>
      </c>
      <c r="C135" s="9" t="inlineStr">
        <is>
          <t>حقوق و دستمزد</t>
        </is>
      </c>
      <c r="D135" s="9" t="inlineStr">
        <is>
          <t>ارسال/پرداخت لیست بیمه ماه مرداد</t>
        </is>
      </c>
      <c r="E135" s="9" t="inlineStr">
        <is>
          <t>ماهانه</t>
        </is>
      </c>
      <c r="F135" s="9" t="inlineStr">
        <is>
          <t>مرداد</t>
        </is>
      </c>
      <c r="G135" s="10" t="n">
        <v>46287</v>
      </c>
      <c r="H135" s="9" t="inlineStr">
        <is>
          <t>1405/06/31</t>
        </is>
      </c>
      <c r="I135" s="9" t="n">
        <v>7</v>
      </c>
      <c r="J135" s="10">
        <f>IF(G135="","",G135-I135)</f>
        <v/>
      </c>
      <c r="K135" s="9" t="inlineStr">
        <is>
          <t>خیلی بالا</t>
        </is>
      </c>
      <c r="L135" s="9" t="inlineStr">
        <is>
          <t>باز</t>
        </is>
      </c>
      <c r="M135" s="9">
        <f>IF(D135="","",IF(L135="انجام شده","انجام شده",IF(L135="لغو شده","لغو شده",IF(G135&lt;TODAY(),"عقب‌افتاده",IF(G135=TODAY(),"امروز",IF(G135&lt;=TODAY()+7,"تا ۷ روز",IF(G135&lt;=TODAY()+15,"تا ۱۵ روز","آینده")))))))</f>
        <v/>
      </c>
      <c r="N135" s="9" t="inlineStr"/>
      <c r="O135" s="9" t="n">
        <v>0</v>
      </c>
      <c r="P135" s="10" t="n"/>
      <c r="Q135" s="9" t="inlineStr"/>
      <c r="R135" s="9" t="inlineStr">
        <is>
          <t>پیش‌فرض 1405</t>
        </is>
      </c>
      <c r="S135" s="9" t="inlineStr">
        <is>
          <t>T106</t>
        </is>
      </c>
      <c r="T135" s="9" t="inlineStr">
        <is>
          <t>بله</t>
        </is>
      </c>
    </row>
    <row r="136">
      <c r="A136" s="9" t="inlineStr">
        <is>
          <t>1405-0135</t>
        </is>
      </c>
      <c r="B136" s="9" t="inlineStr">
        <is>
          <t>فروشگاه شهر کتاب مرکزی</t>
        </is>
      </c>
      <c r="C136" s="9" t="inlineStr">
        <is>
          <t>حقوق و دستمزد</t>
        </is>
      </c>
      <c r="D136" s="9" t="inlineStr">
        <is>
          <t>ارسال/پرداخت مالیات حقوق ماه مرداد</t>
        </is>
      </c>
      <c r="E136" s="9" t="inlineStr">
        <is>
          <t>ماهانه</t>
        </is>
      </c>
      <c r="F136" s="9" t="inlineStr">
        <is>
          <t>مرداد</t>
        </is>
      </c>
      <c r="G136" s="10" t="n">
        <v>46287</v>
      </c>
      <c r="H136" s="9" t="inlineStr">
        <is>
          <t>1405/06/31</t>
        </is>
      </c>
      <c r="I136" s="9" t="n">
        <v>7</v>
      </c>
      <c r="J136" s="10">
        <f>IF(G136="","",G136-I136)</f>
        <v/>
      </c>
      <c r="K136" s="9" t="inlineStr">
        <is>
          <t>خیلی بالا</t>
        </is>
      </c>
      <c r="L136" s="9" t="inlineStr">
        <is>
          <t>باز</t>
        </is>
      </c>
      <c r="M136" s="9">
        <f>IF(D136="","",IF(L136="انجام شده","انجام شده",IF(L136="لغو شده","لغو شده",IF(G136&lt;TODAY(),"عقب‌افتاده",IF(G136=TODAY(),"امروز",IF(G136&lt;=TODAY()+7,"تا ۷ روز",IF(G136&lt;=TODAY()+15,"تا ۱۵ روز","آینده")))))))</f>
        <v/>
      </c>
      <c r="N136" s="9" t="inlineStr"/>
      <c r="O136" s="9" t="n">
        <v>0</v>
      </c>
      <c r="P136" s="10" t="n"/>
      <c r="Q136" s="9" t="inlineStr"/>
      <c r="R136" s="9" t="inlineStr">
        <is>
          <t>پیش‌فرض 1405</t>
        </is>
      </c>
      <c r="S136" s="9" t="inlineStr">
        <is>
          <t>T107</t>
        </is>
      </c>
      <c r="T136" s="9" t="inlineStr">
        <is>
          <t>بله</t>
        </is>
      </c>
    </row>
    <row r="137">
      <c r="A137" s="9" t="inlineStr">
        <is>
          <t>1405-0136</t>
        </is>
      </c>
      <c r="B137" s="9" t="inlineStr">
        <is>
          <t>فروشگاه شهر کتاب مرکزی</t>
        </is>
      </c>
      <c r="C137" s="9" t="inlineStr">
        <is>
          <t>بایگانی</t>
        </is>
      </c>
      <c r="D137" s="9" t="inlineStr">
        <is>
          <t>بایگانی مدارک و اسناد ماه مرداد</t>
        </is>
      </c>
      <c r="E137" s="9" t="inlineStr">
        <is>
          <t>ماهانه</t>
        </is>
      </c>
      <c r="F137" s="9" t="inlineStr">
        <is>
          <t>مرداد</t>
        </is>
      </c>
      <c r="G137" s="10" t="n">
        <v>46271</v>
      </c>
      <c r="H137" s="9" t="inlineStr">
        <is>
          <t>1405/06/15</t>
        </is>
      </c>
      <c r="I137" s="9" t="n">
        <v>3</v>
      </c>
      <c r="J137" s="10">
        <f>IF(G137="","",G137-I137)</f>
        <v/>
      </c>
      <c r="K137" s="9" t="inlineStr">
        <is>
          <t>متوسط</t>
        </is>
      </c>
      <c r="L137" s="9" t="inlineStr">
        <is>
          <t>باز</t>
        </is>
      </c>
      <c r="M137" s="9">
        <f>IF(D137="","",IF(L137="انجام شده","انجام شده",IF(L137="لغو شده","لغو شده",IF(G137&lt;TODAY(),"عقب‌افتاده",IF(G137=TODAY(),"امروز",IF(G137&lt;=TODAY()+7,"تا ۷ روز",IF(G137&lt;=TODAY()+15,"تا ۱۵ روز","آینده")))))))</f>
        <v/>
      </c>
      <c r="N137" s="9" t="inlineStr"/>
      <c r="O137" s="9" t="n">
        <v>0</v>
      </c>
      <c r="P137" s="10" t="n"/>
      <c r="Q137" s="9" t="inlineStr"/>
      <c r="R137" s="9" t="inlineStr">
        <is>
          <t>پیش‌فرض 1405</t>
        </is>
      </c>
      <c r="S137" s="9" t="inlineStr">
        <is>
          <t>T108</t>
        </is>
      </c>
      <c r="T137" s="9" t="inlineStr">
        <is>
          <t>بله</t>
        </is>
      </c>
    </row>
    <row r="138">
      <c r="A138" s="9" t="inlineStr">
        <is>
          <t>1405-0137</t>
        </is>
      </c>
      <c r="B138" s="9" t="inlineStr">
        <is>
          <t>فروشگاه شهر کتاب مرکزی</t>
        </is>
      </c>
      <c r="C138" s="9" t="inlineStr">
        <is>
          <t>پایان ماه</t>
        </is>
      </c>
      <c r="D138" s="9" t="inlineStr">
        <is>
          <t>مغایرت‌گیری بانکی ماه شهریور</t>
        </is>
      </c>
      <c r="E138" s="9" t="inlineStr">
        <is>
          <t>ماهانه</t>
        </is>
      </c>
      <c r="F138" s="9" t="inlineStr">
        <is>
          <t>شهریور</t>
        </is>
      </c>
      <c r="G138" s="10" t="n">
        <v>46292</v>
      </c>
      <c r="H138" s="9" t="inlineStr">
        <is>
          <t>1405/07/05</t>
        </is>
      </c>
      <c r="I138" s="9" t="n">
        <v>5</v>
      </c>
      <c r="J138" s="10">
        <f>IF(G138="","",G138-I138)</f>
        <v/>
      </c>
      <c r="K138" s="9" t="inlineStr">
        <is>
          <t>بالا</t>
        </is>
      </c>
      <c r="L138" s="9" t="inlineStr">
        <is>
          <t>باز</t>
        </is>
      </c>
      <c r="M138" s="9">
        <f>IF(D138="","",IF(L138="انجام شده","انجام شده",IF(L138="لغو شده","لغو شده",IF(G138&lt;TODAY(),"عقب‌افتاده",IF(G138=TODAY(),"امروز",IF(G138&lt;=TODAY()+7,"تا ۷ روز",IF(G138&lt;=TODAY()+15,"تا ۱۵ روز","آینده")))))))</f>
        <v/>
      </c>
      <c r="N138" s="9" t="inlineStr"/>
      <c r="O138" s="9" t="n">
        <v>0</v>
      </c>
      <c r="P138" s="10" t="n"/>
      <c r="Q138" s="9" t="inlineStr"/>
      <c r="R138" s="9" t="inlineStr">
        <is>
          <t>پیش‌فرض 1405</t>
        </is>
      </c>
      <c r="S138" s="9" t="inlineStr">
        <is>
          <t>T101</t>
        </is>
      </c>
      <c r="T138" s="9" t="inlineStr">
        <is>
          <t>بله</t>
        </is>
      </c>
    </row>
    <row r="139">
      <c r="A139" s="9" t="inlineStr">
        <is>
          <t>1405-0138</t>
        </is>
      </c>
      <c r="B139" s="9" t="inlineStr">
        <is>
          <t>فروشگاه شهر کتاب مرکزی</t>
        </is>
      </c>
      <c r="C139" s="9" t="inlineStr">
        <is>
          <t>پایان ماه</t>
        </is>
      </c>
      <c r="D139" s="9" t="inlineStr">
        <is>
          <t>کنترل نهایی اسناد ماه شهریور</t>
        </is>
      </c>
      <c r="E139" s="9" t="inlineStr">
        <is>
          <t>ماهانه</t>
        </is>
      </c>
      <c r="F139" s="9" t="inlineStr">
        <is>
          <t>شهریور</t>
        </is>
      </c>
      <c r="G139" s="10" t="n">
        <v>46294</v>
      </c>
      <c r="H139" s="9" t="inlineStr">
        <is>
          <t>1405/07/07</t>
        </is>
      </c>
      <c r="I139" s="9" t="n">
        <v>5</v>
      </c>
      <c r="J139" s="10">
        <f>IF(G139="","",G139-I139)</f>
        <v/>
      </c>
      <c r="K139" s="9" t="inlineStr">
        <is>
          <t>بالا</t>
        </is>
      </c>
      <c r="L139" s="9" t="inlineStr">
        <is>
          <t>باز</t>
        </is>
      </c>
      <c r="M139" s="9">
        <f>IF(D139="","",IF(L139="انجام شده","انجام شده",IF(L139="لغو شده","لغو شده",IF(G139&lt;TODAY(),"عقب‌افتاده",IF(G139=TODAY(),"امروز",IF(G139&lt;=TODAY()+7,"تا ۷ روز",IF(G139&lt;=TODAY()+15,"تا ۱۵ روز","آینده")))))))</f>
        <v/>
      </c>
      <c r="N139" s="9" t="inlineStr"/>
      <c r="O139" s="9" t="n">
        <v>0</v>
      </c>
      <c r="P139" s="10" t="n"/>
      <c r="Q139" s="9" t="inlineStr"/>
      <c r="R139" s="9" t="inlineStr">
        <is>
          <t>پیش‌فرض 1405</t>
        </is>
      </c>
      <c r="S139" s="9" t="inlineStr">
        <is>
          <t>T102</t>
        </is>
      </c>
      <c r="T139" s="9" t="inlineStr">
        <is>
          <t>بله</t>
        </is>
      </c>
    </row>
    <row r="140">
      <c r="A140" s="9" t="inlineStr">
        <is>
          <t>1405-0139</t>
        </is>
      </c>
      <c r="B140" s="9" t="inlineStr">
        <is>
          <t>فروشگاه شهر کتاب مرکزی</t>
        </is>
      </c>
      <c r="C140" s="9" t="inlineStr">
        <is>
          <t>پایان ماه</t>
        </is>
      </c>
      <c r="D140" s="9" t="inlineStr">
        <is>
          <t>بستن حساب‌های ماه شهریور و کنترل مانده‌ها</t>
        </is>
      </c>
      <c r="E140" s="9" t="inlineStr">
        <is>
          <t>ماهانه</t>
        </is>
      </c>
      <c r="F140" s="9" t="inlineStr">
        <is>
          <t>شهریور</t>
        </is>
      </c>
      <c r="G140" s="10" t="n">
        <v>46297</v>
      </c>
      <c r="H140" s="9" t="inlineStr">
        <is>
          <t>1405/07/10</t>
        </is>
      </c>
      <c r="I140" s="9" t="n">
        <v>7</v>
      </c>
      <c r="J140" s="10">
        <f>IF(G140="","",G140-I140)</f>
        <v/>
      </c>
      <c r="K140" s="9" t="inlineStr">
        <is>
          <t>بالا</t>
        </is>
      </c>
      <c r="L140" s="9" t="inlineStr">
        <is>
          <t>باز</t>
        </is>
      </c>
      <c r="M140" s="9">
        <f>IF(D140="","",IF(L140="انجام شده","انجام شده",IF(L140="لغو شده","لغو شده",IF(G140&lt;TODAY(),"عقب‌افتاده",IF(G140=TODAY(),"امروز",IF(G140&lt;=TODAY()+7,"تا ۷ روز",IF(G140&lt;=TODAY()+15,"تا ۱۵ روز","آینده")))))))</f>
        <v/>
      </c>
      <c r="N140" s="9" t="inlineStr"/>
      <c r="O140" s="9" t="n">
        <v>0</v>
      </c>
      <c r="P140" s="10" t="n"/>
      <c r="Q140" s="9" t="inlineStr"/>
      <c r="R140" s="9" t="inlineStr">
        <is>
          <t>پیش‌فرض 1405</t>
        </is>
      </c>
      <c r="S140" s="9" t="inlineStr">
        <is>
          <t>T103</t>
        </is>
      </c>
      <c r="T140" s="9" t="inlineStr">
        <is>
          <t>بله</t>
        </is>
      </c>
    </row>
    <row r="141">
      <c r="A141" s="9" t="inlineStr">
        <is>
          <t>1405-0140</t>
        </is>
      </c>
      <c r="B141" s="9" t="inlineStr">
        <is>
          <t>فروشگاه شهر کتاب مرکزی</t>
        </is>
      </c>
      <c r="C141" s="9" t="inlineStr">
        <is>
          <t>گزارش</t>
        </is>
      </c>
      <c r="D141" s="9" t="inlineStr">
        <is>
          <t>تهیه گزارش مدیریت ماه شهریور</t>
        </is>
      </c>
      <c r="E141" s="9" t="inlineStr">
        <is>
          <t>ماهانه</t>
        </is>
      </c>
      <c r="F141" s="9" t="inlineStr">
        <is>
          <t>شهریور</t>
        </is>
      </c>
      <c r="G141" s="10" t="n">
        <v>46297</v>
      </c>
      <c r="H141" s="9" t="inlineStr">
        <is>
          <t>1405/07/10</t>
        </is>
      </c>
      <c r="I141" s="9" t="n">
        <v>5</v>
      </c>
      <c r="J141" s="10">
        <f>IF(G141="","",G141-I141)</f>
        <v/>
      </c>
      <c r="K141" s="9" t="inlineStr">
        <is>
          <t>متوسط</t>
        </is>
      </c>
      <c r="L141" s="9" t="inlineStr">
        <is>
          <t>باز</t>
        </is>
      </c>
      <c r="M141" s="9">
        <f>IF(D141="","",IF(L141="انجام شده","انجام شده",IF(L141="لغو شده","لغو شده",IF(G141&lt;TODAY(),"عقب‌افتاده",IF(G141=TODAY(),"امروز",IF(G141&lt;=TODAY()+7,"تا ۷ روز",IF(G141&lt;=TODAY()+15,"تا ۱۵ روز","آینده")))))))</f>
        <v/>
      </c>
      <c r="N141" s="9" t="inlineStr"/>
      <c r="O141" s="9" t="n">
        <v>0</v>
      </c>
      <c r="P141" s="10" t="n"/>
      <c r="Q141" s="9" t="inlineStr"/>
      <c r="R141" s="9" t="inlineStr">
        <is>
          <t>پیش‌فرض 1405</t>
        </is>
      </c>
      <c r="S141" s="9" t="inlineStr">
        <is>
          <t>T104</t>
        </is>
      </c>
      <c r="T141" s="9" t="inlineStr">
        <is>
          <t>بله</t>
        </is>
      </c>
    </row>
    <row r="142">
      <c r="A142" s="9" t="inlineStr">
        <is>
          <t>1405-0141</t>
        </is>
      </c>
      <c r="B142" s="9" t="inlineStr">
        <is>
          <t>فروشگاه شهر کتاب مرکزی</t>
        </is>
      </c>
      <c r="C142" s="9" t="inlineStr">
        <is>
          <t>حقوق و دستمزد</t>
        </is>
      </c>
      <c r="D142" s="9" t="inlineStr">
        <is>
          <t>محاسبه حقوق و دستمزد ماه شهریور</t>
        </is>
      </c>
      <c r="E142" s="9" t="inlineStr">
        <is>
          <t>ماهانه</t>
        </is>
      </c>
      <c r="F142" s="9" t="inlineStr">
        <is>
          <t>شهریور</t>
        </is>
      </c>
      <c r="G142" s="10" t="n">
        <v>46284</v>
      </c>
      <c r="H142" s="9" t="inlineStr">
        <is>
          <t>1405/06/28</t>
        </is>
      </c>
      <c r="I142" s="9" t="n">
        <v>5</v>
      </c>
      <c r="J142" s="10">
        <f>IF(G142="","",G142-I142)</f>
        <v/>
      </c>
      <c r="K142" s="9" t="inlineStr">
        <is>
          <t>بالا</t>
        </is>
      </c>
      <c r="L142" s="9" t="inlineStr">
        <is>
          <t>باز</t>
        </is>
      </c>
      <c r="M142" s="9">
        <f>IF(D142="","",IF(L142="انجام شده","انجام شده",IF(L142="لغو شده","لغو شده",IF(G142&lt;TODAY(),"عقب‌افتاده",IF(G142=TODAY(),"امروز",IF(G142&lt;=TODAY()+7,"تا ۷ روز",IF(G142&lt;=TODAY()+15,"تا ۱۵ روز","آینده")))))))</f>
        <v/>
      </c>
      <c r="N142" s="9" t="inlineStr"/>
      <c r="O142" s="9" t="n">
        <v>0</v>
      </c>
      <c r="P142" s="10" t="n"/>
      <c r="Q142" s="9" t="inlineStr"/>
      <c r="R142" s="9" t="inlineStr">
        <is>
          <t>پیش‌فرض 1405</t>
        </is>
      </c>
      <c r="S142" s="9" t="inlineStr">
        <is>
          <t>T105</t>
        </is>
      </c>
      <c r="T142" s="9" t="inlineStr">
        <is>
          <t>بله</t>
        </is>
      </c>
    </row>
    <row r="143">
      <c r="A143" s="9" t="inlineStr">
        <is>
          <t>1405-0142</t>
        </is>
      </c>
      <c r="B143" s="9" t="inlineStr">
        <is>
          <t>فروشگاه شهر کتاب مرکزی</t>
        </is>
      </c>
      <c r="C143" s="9" t="inlineStr">
        <is>
          <t>حقوق و دستمزد</t>
        </is>
      </c>
      <c r="D143" s="9" t="inlineStr">
        <is>
          <t>ارسال/پرداخت لیست بیمه ماه شهریور</t>
        </is>
      </c>
      <c r="E143" s="9" t="inlineStr">
        <is>
          <t>ماهانه</t>
        </is>
      </c>
      <c r="F143" s="9" t="inlineStr">
        <is>
          <t>شهریور</t>
        </is>
      </c>
      <c r="G143" s="10" t="n">
        <v>46317</v>
      </c>
      <c r="H143" s="9" t="inlineStr">
        <is>
          <t>1405/07/30</t>
        </is>
      </c>
      <c r="I143" s="9" t="n">
        <v>7</v>
      </c>
      <c r="J143" s="10">
        <f>IF(G143="","",G143-I143)</f>
        <v/>
      </c>
      <c r="K143" s="9" t="inlineStr">
        <is>
          <t>خیلی بالا</t>
        </is>
      </c>
      <c r="L143" s="9" t="inlineStr">
        <is>
          <t>باز</t>
        </is>
      </c>
      <c r="M143" s="9">
        <f>IF(D143="","",IF(L143="انجام شده","انجام شده",IF(L143="لغو شده","لغو شده",IF(G143&lt;TODAY(),"عقب‌افتاده",IF(G143=TODAY(),"امروز",IF(G143&lt;=TODAY()+7,"تا ۷ روز",IF(G143&lt;=TODAY()+15,"تا ۱۵ روز","آینده")))))))</f>
        <v/>
      </c>
      <c r="N143" s="9" t="inlineStr"/>
      <c r="O143" s="9" t="n">
        <v>0</v>
      </c>
      <c r="P143" s="10" t="n"/>
      <c r="Q143" s="9" t="inlineStr"/>
      <c r="R143" s="9" t="inlineStr">
        <is>
          <t>پیش‌فرض 1405</t>
        </is>
      </c>
      <c r="S143" s="9" t="inlineStr">
        <is>
          <t>T106</t>
        </is>
      </c>
      <c r="T143" s="9" t="inlineStr">
        <is>
          <t>بله</t>
        </is>
      </c>
    </row>
    <row r="144">
      <c r="A144" s="9" t="inlineStr">
        <is>
          <t>1405-0143</t>
        </is>
      </c>
      <c r="B144" s="9" t="inlineStr">
        <is>
          <t>فروشگاه شهر کتاب مرکزی</t>
        </is>
      </c>
      <c r="C144" s="9" t="inlineStr">
        <is>
          <t>حقوق و دستمزد</t>
        </is>
      </c>
      <c r="D144" s="9" t="inlineStr">
        <is>
          <t>ارسال/پرداخت مالیات حقوق ماه شهریور</t>
        </is>
      </c>
      <c r="E144" s="9" t="inlineStr">
        <is>
          <t>ماهانه</t>
        </is>
      </c>
      <c r="F144" s="9" t="inlineStr">
        <is>
          <t>شهریور</t>
        </is>
      </c>
      <c r="G144" s="10" t="n">
        <v>46317</v>
      </c>
      <c r="H144" s="9" t="inlineStr">
        <is>
          <t>1405/07/30</t>
        </is>
      </c>
      <c r="I144" s="9" t="n">
        <v>7</v>
      </c>
      <c r="J144" s="10">
        <f>IF(G144="","",G144-I144)</f>
        <v/>
      </c>
      <c r="K144" s="9" t="inlineStr">
        <is>
          <t>خیلی بالا</t>
        </is>
      </c>
      <c r="L144" s="9" t="inlineStr">
        <is>
          <t>باز</t>
        </is>
      </c>
      <c r="M144" s="9">
        <f>IF(D144="","",IF(L144="انجام شده","انجام شده",IF(L144="لغو شده","لغو شده",IF(G144&lt;TODAY(),"عقب‌افتاده",IF(G144=TODAY(),"امروز",IF(G144&lt;=TODAY()+7,"تا ۷ روز",IF(G144&lt;=TODAY()+15,"تا ۱۵ روز","آینده")))))))</f>
        <v/>
      </c>
      <c r="N144" s="9" t="inlineStr"/>
      <c r="O144" s="9" t="n">
        <v>0</v>
      </c>
      <c r="P144" s="10" t="n"/>
      <c r="Q144" s="9" t="inlineStr"/>
      <c r="R144" s="9" t="inlineStr">
        <is>
          <t>پیش‌فرض 1405</t>
        </is>
      </c>
      <c r="S144" s="9" t="inlineStr">
        <is>
          <t>T107</t>
        </is>
      </c>
      <c r="T144" s="9" t="inlineStr">
        <is>
          <t>بله</t>
        </is>
      </c>
    </row>
    <row r="145">
      <c r="A145" s="9" t="inlineStr">
        <is>
          <t>1405-0144</t>
        </is>
      </c>
      <c r="B145" s="9" t="inlineStr">
        <is>
          <t>فروشگاه شهر کتاب مرکزی</t>
        </is>
      </c>
      <c r="C145" s="9" t="inlineStr">
        <is>
          <t>بایگانی</t>
        </is>
      </c>
      <c r="D145" s="9" t="inlineStr">
        <is>
          <t>بایگانی مدارک و اسناد ماه شهریور</t>
        </is>
      </c>
      <c r="E145" s="9" t="inlineStr">
        <is>
          <t>ماهانه</t>
        </is>
      </c>
      <c r="F145" s="9" t="inlineStr">
        <is>
          <t>شهریور</t>
        </is>
      </c>
      <c r="G145" s="10" t="n">
        <v>46302</v>
      </c>
      <c r="H145" s="9" t="inlineStr">
        <is>
          <t>1405/07/15</t>
        </is>
      </c>
      <c r="I145" s="9" t="n">
        <v>3</v>
      </c>
      <c r="J145" s="10">
        <f>IF(G145="","",G145-I145)</f>
        <v/>
      </c>
      <c r="K145" s="9" t="inlineStr">
        <is>
          <t>متوسط</t>
        </is>
      </c>
      <c r="L145" s="9" t="inlineStr">
        <is>
          <t>باز</t>
        </is>
      </c>
      <c r="M145" s="9">
        <f>IF(D145="","",IF(L145="انجام شده","انجام شده",IF(L145="لغو شده","لغو شده",IF(G145&lt;TODAY(),"عقب‌افتاده",IF(G145=TODAY(),"امروز",IF(G145&lt;=TODAY()+7,"تا ۷ روز",IF(G145&lt;=TODAY()+15,"تا ۱۵ روز","آینده")))))))</f>
        <v/>
      </c>
      <c r="N145" s="9" t="inlineStr"/>
      <c r="O145" s="9" t="n">
        <v>0</v>
      </c>
      <c r="P145" s="10" t="n"/>
      <c r="Q145" s="9" t="inlineStr"/>
      <c r="R145" s="9" t="inlineStr">
        <is>
          <t>پیش‌فرض 1405</t>
        </is>
      </c>
      <c r="S145" s="9" t="inlineStr">
        <is>
          <t>T108</t>
        </is>
      </c>
      <c r="T145" s="9" t="inlineStr">
        <is>
          <t>بله</t>
        </is>
      </c>
    </row>
    <row r="146">
      <c r="A146" s="9" t="inlineStr">
        <is>
          <t>1405-0145</t>
        </is>
      </c>
      <c r="B146" s="9" t="inlineStr">
        <is>
          <t>فروشگاه شهر کتاب مرکزی</t>
        </is>
      </c>
      <c r="C146" s="9" t="inlineStr">
        <is>
          <t>پایان ماه</t>
        </is>
      </c>
      <c r="D146" s="9" t="inlineStr">
        <is>
          <t>مغایرت‌گیری بانکی ماه مهر</t>
        </is>
      </c>
      <c r="E146" s="9" t="inlineStr">
        <is>
          <t>ماهانه</t>
        </is>
      </c>
      <c r="F146" s="9" t="inlineStr">
        <is>
          <t>مهر</t>
        </is>
      </c>
      <c r="G146" s="10" t="n">
        <v>46322</v>
      </c>
      <c r="H146" s="9" t="inlineStr">
        <is>
          <t>1405/08/05</t>
        </is>
      </c>
      <c r="I146" s="9" t="n">
        <v>5</v>
      </c>
      <c r="J146" s="10">
        <f>IF(G146="","",G146-I146)</f>
        <v/>
      </c>
      <c r="K146" s="9" t="inlineStr">
        <is>
          <t>بالا</t>
        </is>
      </c>
      <c r="L146" s="9" t="inlineStr">
        <is>
          <t>باز</t>
        </is>
      </c>
      <c r="M146" s="9">
        <f>IF(D146="","",IF(L146="انجام شده","انجام شده",IF(L146="لغو شده","لغو شده",IF(G146&lt;TODAY(),"عقب‌افتاده",IF(G146=TODAY(),"امروز",IF(G146&lt;=TODAY()+7,"تا ۷ روز",IF(G146&lt;=TODAY()+15,"تا ۱۵ روز","آینده")))))))</f>
        <v/>
      </c>
      <c r="N146" s="9" t="inlineStr"/>
      <c r="O146" s="9" t="n">
        <v>0</v>
      </c>
      <c r="P146" s="10" t="n"/>
      <c r="Q146" s="9" t="inlineStr"/>
      <c r="R146" s="9" t="inlineStr">
        <is>
          <t>پیش‌فرض 1405</t>
        </is>
      </c>
      <c r="S146" s="9" t="inlineStr">
        <is>
          <t>T101</t>
        </is>
      </c>
      <c r="T146" s="9" t="inlineStr">
        <is>
          <t>بله</t>
        </is>
      </c>
    </row>
    <row r="147">
      <c r="A147" s="9" t="inlineStr">
        <is>
          <t>1405-0146</t>
        </is>
      </c>
      <c r="B147" s="9" t="inlineStr">
        <is>
          <t>فروشگاه شهر کتاب مرکزی</t>
        </is>
      </c>
      <c r="C147" s="9" t="inlineStr">
        <is>
          <t>پایان ماه</t>
        </is>
      </c>
      <c r="D147" s="9" t="inlineStr">
        <is>
          <t>کنترل نهایی اسناد ماه مهر</t>
        </is>
      </c>
      <c r="E147" s="9" t="inlineStr">
        <is>
          <t>ماهانه</t>
        </is>
      </c>
      <c r="F147" s="9" t="inlineStr">
        <is>
          <t>مهر</t>
        </is>
      </c>
      <c r="G147" s="10" t="n">
        <v>46324</v>
      </c>
      <c r="H147" s="9" t="inlineStr">
        <is>
          <t>1405/08/07</t>
        </is>
      </c>
      <c r="I147" s="9" t="n">
        <v>5</v>
      </c>
      <c r="J147" s="10">
        <f>IF(G147="","",G147-I147)</f>
        <v/>
      </c>
      <c r="K147" s="9" t="inlineStr">
        <is>
          <t>بالا</t>
        </is>
      </c>
      <c r="L147" s="9" t="inlineStr">
        <is>
          <t>باز</t>
        </is>
      </c>
      <c r="M147" s="9">
        <f>IF(D147="","",IF(L147="انجام شده","انجام شده",IF(L147="لغو شده","لغو شده",IF(G147&lt;TODAY(),"عقب‌افتاده",IF(G147=TODAY(),"امروز",IF(G147&lt;=TODAY()+7,"تا ۷ روز",IF(G147&lt;=TODAY()+15,"تا ۱۵ روز","آینده")))))))</f>
        <v/>
      </c>
      <c r="N147" s="9" t="inlineStr"/>
      <c r="O147" s="9" t="n">
        <v>0</v>
      </c>
      <c r="P147" s="10" t="n"/>
      <c r="Q147" s="9" t="inlineStr"/>
      <c r="R147" s="9" t="inlineStr">
        <is>
          <t>پیش‌فرض 1405</t>
        </is>
      </c>
      <c r="S147" s="9" t="inlineStr">
        <is>
          <t>T102</t>
        </is>
      </c>
      <c r="T147" s="9" t="inlineStr">
        <is>
          <t>بله</t>
        </is>
      </c>
    </row>
    <row r="148">
      <c r="A148" s="9" t="inlineStr">
        <is>
          <t>1405-0147</t>
        </is>
      </c>
      <c r="B148" s="9" t="inlineStr">
        <is>
          <t>فروشگاه شهر کتاب مرکزی</t>
        </is>
      </c>
      <c r="C148" s="9" t="inlineStr">
        <is>
          <t>پایان ماه</t>
        </is>
      </c>
      <c r="D148" s="9" t="inlineStr">
        <is>
          <t>بستن حساب‌های ماه مهر و کنترل مانده‌ها</t>
        </is>
      </c>
      <c r="E148" s="9" t="inlineStr">
        <is>
          <t>ماهانه</t>
        </is>
      </c>
      <c r="F148" s="9" t="inlineStr">
        <is>
          <t>مهر</t>
        </is>
      </c>
      <c r="G148" s="10" t="n">
        <v>46327</v>
      </c>
      <c r="H148" s="9" t="inlineStr">
        <is>
          <t>1405/08/10</t>
        </is>
      </c>
      <c r="I148" s="9" t="n">
        <v>7</v>
      </c>
      <c r="J148" s="10">
        <f>IF(G148="","",G148-I148)</f>
        <v/>
      </c>
      <c r="K148" s="9" t="inlineStr">
        <is>
          <t>بالا</t>
        </is>
      </c>
      <c r="L148" s="9" t="inlineStr">
        <is>
          <t>باز</t>
        </is>
      </c>
      <c r="M148" s="9">
        <f>IF(D148="","",IF(L148="انجام شده","انجام شده",IF(L148="لغو شده","لغو شده",IF(G148&lt;TODAY(),"عقب‌افتاده",IF(G148=TODAY(),"امروز",IF(G148&lt;=TODAY()+7,"تا ۷ روز",IF(G148&lt;=TODAY()+15,"تا ۱۵ روز","آینده")))))))</f>
        <v/>
      </c>
      <c r="N148" s="9" t="inlineStr"/>
      <c r="O148" s="9" t="n">
        <v>0</v>
      </c>
      <c r="P148" s="10" t="n"/>
      <c r="Q148" s="9" t="inlineStr"/>
      <c r="R148" s="9" t="inlineStr">
        <is>
          <t>پیش‌فرض 1405</t>
        </is>
      </c>
      <c r="S148" s="9" t="inlineStr">
        <is>
          <t>T103</t>
        </is>
      </c>
      <c r="T148" s="9" t="inlineStr">
        <is>
          <t>بله</t>
        </is>
      </c>
    </row>
    <row r="149">
      <c r="A149" s="9" t="inlineStr">
        <is>
          <t>1405-0148</t>
        </is>
      </c>
      <c r="B149" s="9" t="inlineStr">
        <is>
          <t>فروشگاه شهر کتاب مرکزی</t>
        </is>
      </c>
      <c r="C149" s="9" t="inlineStr">
        <is>
          <t>گزارش</t>
        </is>
      </c>
      <c r="D149" s="9" t="inlineStr">
        <is>
          <t>تهیه گزارش مدیریت ماه مهر</t>
        </is>
      </c>
      <c r="E149" s="9" t="inlineStr">
        <is>
          <t>ماهانه</t>
        </is>
      </c>
      <c r="F149" s="9" t="inlineStr">
        <is>
          <t>مهر</t>
        </is>
      </c>
      <c r="G149" s="10" t="n">
        <v>46327</v>
      </c>
      <c r="H149" s="9" t="inlineStr">
        <is>
          <t>1405/08/10</t>
        </is>
      </c>
      <c r="I149" s="9" t="n">
        <v>5</v>
      </c>
      <c r="J149" s="10">
        <f>IF(G149="","",G149-I149)</f>
        <v/>
      </c>
      <c r="K149" s="9" t="inlineStr">
        <is>
          <t>متوسط</t>
        </is>
      </c>
      <c r="L149" s="9" t="inlineStr">
        <is>
          <t>باز</t>
        </is>
      </c>
      <c r="M149" s="9">
        <f>IF(D149="","",IF(L149="انجام شده","انجام شده",IF(L149="لغو شده","لغو شده",IF(G149&lt;TODAY(),"عقب‌افتاده",IF(G149=TODAY(),"امروز",IF(G149&lt;=TODAY()+7,"تا ۷ روز",IF(G149&lt;=TODAY()+15,"تا ۱۵ روز","آینده")))))))</f>
        <v/>
      </c>
      <c r="N149" s="9" t="inlineStr"/>
      <c r="O149" s="9" t="n">
        <v>0</v>
      </c>
      <c r="P149" s="10" t="n"/>
      <c r="Q149" s="9" t="inlineStr"/>
      <c r="R149" s="9" t="inlineStr">
        <is>
          <t>پیش‌فرض 1405</t>
        </is>
      </c>
      <c r="S149" s="9" t="inlineStr">
        <is>
          <t>T104</t>
        </is>
      </c>
      <c r="T149" s="9" t="inlineStr">
        <is>
          <t>بله</t>
        </is>
      </c>
    </row>
    <row r="150">
      <c r="A150" s="9" t="inlineStr">
        <is>
          <t>1405-0149</t>
        </is>
      </c>
      <c r="B150" s="9" t="inlineStr">
        <is>
          <t>فروشگاه شهر کتاب مرکزی</t>
        </is>
      </c>
      <c r="C150" s="9" t="inlineStr">
        <is>
          <t>حقوق و دستمزد</t>
        </is>
      </c>
      <c r="D150" s="9" t="inlineStr">
        <is>
          <t>محاسبه حقوق و دستمزد ماه مهر</t>
        </is>
      </c>
      <c r="E150" s="9" t="inlineStr">
        <is>
          <t>ماهانه</t>
        </is>
      </c>
      <c r="F150" s="9" t="inlineStr">
        <is>
          <t>مهر</t>
        </is>
      </c>
      <c r="G150" s="10" t="n">
        <v>46315</v>
      </c>
      <c r="H150" s="9" t="inlineStr">
        <is>
          <t>1405/07/28</t>
        </is>
      </c>
      <c r="I150" s="9" t="n">
        <v>5</v>
      </c>
      <c r="J150" s="10">
        <f>IF(G150="","",G150-I150)</f>
        <v/>
      </c>
      <c r="K150" s="9" t="inlineStr">
        <is>
          <t>بالا</t>
        </is>
      </c>
      <c r="L150" s="9" t="inlineStr">
        <is>
          <t>باز</t>
        </is>
      </c>
      <c r="M150" s="9">
        <f>IF(D150="","",IF(L150="انجام شده","انجام شده",IF(L150="لغو شده","لغو شده",IF(G150&lt;TODAY(),"عقب‌افتاده",IF(G150=TODAY(),"امروز",IF(G150&lt;=TODAY()+7,"تا ۷ روز",IF(G150&lt;=TODAY()+15,"تا ۱۵ روز","آینده")))))))</f>
        <v/>
      </c>
      <c r="N150" s="9" t="inlineStr"/>
      <c r="O150" s="9" t="n">
        <v>0</v>
      </c>
      <c r="P150" s="10" t="n"/>
      <c r="Q150" s="9" t="inlineStr"/>
      <c r="R150" s="9" t="inlineStr">
        <is>
          <t>پیش‌فرض 1405</t>
        </is>
      </c>
      <c r="S150" s="9" t="inlineStr">
        <is>
          <t>T105</t>
        </is>
      </c>
      <c r="T150" s="9" t="inlineStr">
        <is>
          <t>بله</t>
        </is>
      </c>
    </row>
    <row r="151">
      <c r="A151" s="9" t="inlineStr">
        <is>
          <t>1405-0150</t>
        </is>
      </c>
      <c r="B151" s="9" t="inlineStr">
        <is>
          <t>فروشگاه شهر کتاب مرکزی</t>
        </is>
      </c>
      <c r="C151" s="9" t="inlineStr">
        <is>
          <t>حقوق و دستمزد</t>
        </is>
      </c>
      <c r="D151" s="9" t="inlineStr">
        <is>
          <t>ارسال/پرداخت لیست بیمه ماه مهر</t>
        </is>
      </c>
      <c r="E151" s="9" t="inlineStr">
        <is>
          <t>ماهانه</t>
        </is>
      </c>
      <c r="F151" s="9" t="inlineStr">
        <is>
          <t>مهر</t>
        </is>
      </c>
      <c r="G151" s="10" t="n">
        <v>46347</v>
      </c>
      <c r="H151" s="9" t="inlineStr">
        <is>
          <t>1405/08/30</t>
        </is>
      </c>
      <c r="I151" s="9" t="n">
        <v>7</v>
      </c>
      <c r="J151" s="10">
        <f>IF(G151="","",G151-I151)</f>
        <v/>
      </c>
      <c r="K151" s="9" t="inlineStr">
        <is>
          <t>خیلی بالا</t>
        </is>
      </c>
      <c r="L151" s="9" t="inlineStr">
        <is>
          <t>باز</t>
        </is>
      </c>
      <c r="M151" s="9">
        <f>IF(D151="","",IF(L151="انجام شده","انجام شده",IF(L151="لغو شده","لغو شده",IF(G151&lt;TODAY(),"عقب‌افتاده",IF(G151=TODAY(),"امروز",IF(G151&lt;=TODAY()+7,"تا ۷ روز",IF(G151&lt;=TODAY()+15,"تا ۱۵ روز","آینده")))))))</f>
        <v/>
      </c>
      <c r="N151" s="9" t="inlineStr"/>
      <c r="O151" s="9" t="n">
        <v>0</v>
      </c>
      <c r="P151" s="10" t="n"/>
      <c r="Q151" s="9" t="inlineStr"/>
      <c r="R151" s="9" t="inlineStr">
        <is>
          <t>پیش‌فرض 1405</t>
        </is>
      </c>
      <c r="S151" s="9" t="inlineStr">
        <is>
          <t>T106</t>
        </is>
      </c>
      <c r="T151" s="9" t="inlineStr">
        <is>
          <t>بله</t>
        </is>
      </c>
    </row>
    <row r="152">
      <c r="A152" s="9" t="inlineStr">
        <is>
          <t>1405-0151</t>
        </is>
      </c>
      <c r="B152" s="9" t="inlineStr">
        <is>
          <t>فروشگاه شهر کتاب مرکزی</t>
        </is>
      </c>
      <c r="C152" s="9" t="inlineStr">
        <is>
          <t>حقوق و دستمزد</t>
        </is>
      </c>
      <c r="D152" s="9" t="inlineStr">
        <is>
          <t>ارسال/پرداخت مالیات حقوق ماه مهر</t>
        </is>
      </c>
      <c r="E152" s="9" t="inlineStr">
        <is>
          <t>ماهانه</t>
        </is>
      </c>
      <c r="F152" s="9" t="inlineStr">
        <is>
          <t>مهر</t>
        </is>
      </c>
      <c r="G152" s="10" t="n">
        <v>46347</v>
      </c>
      <c r="H152" s="9" t="inlineStr">
        <is>
          <t>1405/08/30</t>
        </is>
      </c>
      <c r="I152" s="9" t="n">
        <v>7</v>
      </c>
      <c r="J152" s="10">
        <f>IF(G152="","",G152-I152)</f>
        <v/>
      </c>
      <c r="K152" s="9" t="inlineStr">
        <is>
          <t>خیلی بالا</t>
        </is>
      </c>
      <c r="L152" s="9" t="inlineStr">
        <is>
          <t>باز</t>
        </is>
      </c>
      <c r="M152" s="9">
        <f>IF(D152="","",IF(L152="انجام شده","انجام شده",IF(L152="لغو شده","لغو شده",IF(G152&lt;TODAY(),"عقب‌افتاده",IF(G152=TODAY(),"امروز",IF(G152&lt;=TODAY()+7,"تا ۷ روز",IF(G152&lt;=TODAY()+15,"تا ۱۵ روز","آینده")))))))</f>
        <v/>
      </c>
      <c r="N152" s="9" t="inlineStr"/>
      <c r="O152" s="9" t="n">
        <v>0</v>
      </c>
      <c r="P152" s="10" t="n"/>
      <c r="Q152" s="9" t="inlineStr"/>
      <c r="R152" s="9" t="inlineStr">
        <is>
          <t>پیش‌فرض 1405</t>
        </is>
      </c>
      <c r="S152" s="9" t="inlineStr">
        <is>
          <t>T107</t>
        </is>
      </c>
      <c r="T152" s="9" t="inlineStr">
        <is>
          <t>بله</t>
        </is>
      </c>
    </row>
    <row r="153">
      <c r="A153" s="9" t="inlineStr">
        <is>
          <t>1405-0152</t>
        </is>
      </c>
      <c r="B153" s="9" t="inlineStr">
        <is>
          <t>فروشگاه شهر کتاب مرکزی</t>
        </is>
      </c>
      <c r="C153" s="9" t="inlineStr">
        <is>
          <t>بایگانی</t>
        </is>
      </c>
      <c r="D153" s="9" t="inlineStr">
        <is>
          <t>بایگانی مدارک و اسناد ماه مهر</t>
        </is>
      </c>
      <c r="E153" s="9" t="inlineStr">
        <is>
          <t>ماهانه</t>
        </is>
      </c>
      <c r="F153" s="9" t="inlineStr">
        <is>
          <t>مهر</t>
        </is>
      </c>
      <c r="G153" s="10" t="n">
        <v>46332</v>
      </c>
      <c r="H153" s="9" t="inlineStr">
        <is>
          <t>1405/08/15</t>
        </is>
      </c>
      <c r="I153" s="9" t="n">
        <v>3</v>
      </c>
      <c r="J153" s="10">
        <f>IF(G153="","",G153-I153)</f>
        <v/>
      </c>
      <c r="K153" s="9" t="inlineStr">
        <is>
          <t>متوسط</t>
        </is>
      </c>
      <c r="L153" s="9" t="inlineStr">
        <is>
          <t>باز</t>
        </is>
      </c>
      <c r="M153" s="9">
        <f>IF(D153="","",IF(L153="انجام شده","انجام شده",IF(L153="لغو شده","لغو شده",IF(G153&lt;TODAY(),"عقب‌افتاده",IF(G153=TODAY(),"امروز",IF(G153&lt;=TODAY()+7,"تا ۷ روز",IF(G153&lt;=TODAY()+15,"تا ۱۵ روز","آینده")))))))</f>
        <v/>
      </c>
      <c r="N153" s="9" t="inlineStr"/>
      <c r="O153" s="9" t="n">
        <v>0</v>
      </c>
      <c r="P153" s="10" t="n"/>
      <c r="Q153" s="9" t="inlineStr"/>
      <c r="R153" s="9" t="inlineStr">
        <is>
          <t>پیش‌فرض 1405</t>
        </is>
      </c>
      <c r="S153" s="9" t="inlineStr">
        <is>
          <t>T108</t>
        </is>
      </c>
      <c r="T153" s="9" t="inlineStr">
        <is>
          <t>بله</t>
        </is>
      </c>
    </row>
    <row r="154">
      <c r="A154" s="9" t="inlineStr">
        <is>
          <t>1405-0153</t>
        </is>
      </c>
      <c r="B154" s="9" t="inlineStr">
        <is>
          <t>فروشگاه شهر کتاب مرکزی</t>
        </is>
      </c>
      <c r="C154" s="9" t="inlineStr">
        <is>
          <t>پایان ماه</t>
        </is>
      </c>
      <c r="D154" s="9" t="inlineStr">
        <is>
          <t>مغایرت‌گیری بانکی ماه آبان</t>
        </is>
      </c>
      <c r="E154" s="9" t="inlineStr">
        <is>
          <t>ماهانه</t>
        </is>
      </c>
      <c r="F154" s="9" t="inlineStr">
        <is>
          <t>آبان</t>
        </is>
      </c>
      <c r="G154" s="10" t="n">
        <v>46352</v>
      </c>
      <c r="H154" s="9" t="inlineStr">
        <is>
          <t>1405/09/05</t>
        </is>
      </c>
      <c r="I154" s="9" t="n">
        <v>5</v>
      </c>
      <c r="J154" s="10">
        <f>IF(G154="","",G154-I154)</f>
        <v/>
      </c>
      <c r="K154" s="9" t="inlineStr">
        <is>
          <t>بالا</t>
        </is>
      </c>
      <c r="L154" s="9" t="inlineStr">
        <is>
          <t>باز</t>
        </is>
      </c>
      <c r="M154" s="9">
        <f>IF(D154="","",IF(L154="انجام شده","انجام شده",IF(L154="لغو شده","لغو شده",IF(G154&lt;TODAY(),"عقب‌افتاده",IF(G154=TODAY(),"امروز",IF(G154&lt;=TODAY()+7,"تا ۷ روز",IF(G154&lt;=TODAY()+15,"تا ۱۵ روز","آینده")))))))</f>
        <v/>
      </c>
      <c r="N154" s="9" t="inlineStr"/>
      <c r="O154" s="9" t="n">
        <v>0</v>
      </c>
      <c r="P154" s="10" t="n"/>
      <c r="Q154" s="9" t="inlineStr"/>
      <c r="R154" s="9" t="inlineStr">
        <is>
          <t>پیش‌فرض 1405</t>
        </is>
      </c>
      <c r="S154" s="9" t="inlineStr">
        <is>
          <t>T101</t>
        </is>
      </c>
      <c r="T154" s="9" t="inlineStr">
        <is>
          <t>بله</t>
        </is>
      </c>
    </row>
    <row r="155">
      <c r="A155" s="9" t="inlineStr">
        <is>
          <t>1405-0154</t>
        </is>
      </c>
      <c r="B155" s="9" t="inlineStr">
        <is>
          <t>فروشگاه شهر کتاب مرکزی</t>
        </is>
      </c>
      <c r="C155" s="9" t="inlineStr">
        <is>
          <t>پایان ماه</t>
        </is>
      </c>
      <c r="D155" s="9" t="inlineStr">
        <is>
          <t>کنترل نهایی اسناد ماه آبان</t>
        </is>
      </c>
      <c r="E155" s="9" t="inlineStr">
        <is>
          <t>ماهانه</t>
        </is>
      </c>
      <c r="F155" s="9" t="inlineStr">
        <is>
          <t>آبان</t>
        </is>
      </c>
      <c r="G155" s="10" t="n">
        <v>46354</v>
      </c>
      <c r="H155" s="9" t="inlineStr">
        <is>
          <t>1405/09/07</t>
        </is>
      </c>
      <c r="I155" s="9" t="n">
        <v>5</v>
      </c>
      <c r="J155" s="10">
        <f>IF(G155="","",G155-I155)</f>
        <v/>
      </c>
      <c r="K155" s="9" t="inlineStr">
        <is>
          <t>بالا</t>
        </is>
      </c>
      <c r="L155" s="9" t="inlineStr">
        <is>
          <t>باز</t>
        </is>
      </c>
      <c r="M155" s="9">
        <f>IF(D155="","",IF(L155="انجام شده","انجام شده",IF(L155="لغو شده","لغو شده",IF(G155&lt;TODAY(),"عقب‌افتاده",IF(G155=TODAY(),"امروز",IF(G155&lt;=TODAY()+7,"تا ۷ روز",IF(G155&lt;=TODAY()+15,"تا ۱۵ روز","آینده")))))))</f>
        <v/>
      </c>
      <c r="N155" s="9" t="inlineStr"/>
      <c r="O155" s="9" t="n">
        <v>0</v>
      </c>
      <c r="P155" s="10" t="n"/>
      <c r="Q155" s="9" t="inlineStr"/>
      <c r="R155" s="9" t="inlineStr">
        <is>
          <t>پیش‌فرض 1405</t>
        </is>
      </c>
      <c r="S155" s="9" t="inlineStr">
        <is>
          <t>T102</t>
        </is>
      </c>
      <c r="T155" s="9" t="inlineStr">
        <is>
          <t>بله</t>
        </is>
      </c>
    </row>
    <row r="156">
      <c r="A156" s="9" t="inlineStr">
        <is>
          <t>1405-0155</t>
        </is>
      </c>
      <c r="B156" s="9" t="inlineStr">
        <is>
          <t>فروشگاه شهر کتاب مرکزی</t>
        </is>
      </c>
      <c r="C156" s="9" t="inlineStr">
        <is>
          <t>پایان ماه</t>
        </is>
      </c>
      <c r="D156" s="9" t="inlineStr">
        <is>
          <t>بستن حساب‌های ماه آبان و کنترل مانده‌ها</t>
        </is>
      </c>
      <c r="E156" s="9" t="inlineStr">
        <is>
          <t>ماهانه</t>
        </is>
      </c>
      <c r="F156" s="9" t="inlineStr">
        <is>
          <t>آبان</t>
        </is>
      </c>
      <c r="G156" s="10" t="n">
        <v>46357</v>
      </c>
      <c r="H156" s="9" t="inlineStr">
        <is>
          <t>1405/09/10</t>
        </is>
      </c>
      <c r="I156" s="9" t="n">
        <v>7</v>
      </c>
      <c r="J156" s="10">
        <f>IF(G156="","",G156-I156)</f>
        <v/>
      </c>
      <c r="K156" s="9" t="inlineStr">
        <is>
          <t>بالا</t>
        </is>
      </c>
      <c r="L156" s="9" t="inlineStr">
        <is>
          <t>باز</t>
        </is>
      </c>
      <c r="M156" s="9">
        <f>IF(D156="","",IF(L156="انجام شده","انجام شده",IF(L156="لغو شده","لغو شده",IF(G156&lt;TODAY(),"عقب‌افتاده",IF(G156=TODAY(),"امروز",IF(G156&lt;=TODAY()+7,"تا ۷ روز",IF(G156&lt;=TODAY()+15,"تا ۱۵ روز","آینده")))))))</f>
        <v/>
      </c>
      <c r="N156" s="9" t="inlineStr"/>
      <c r="O156" s="9" t="n">
        <v>0</v>
      </c>
      <c r="P156" s="10" t="n"/>
      <c r="Q156" s="9" t="inlineStr"/>
      <c r="R156" s="9" t="inlineStr">
        <is>
          <t>پیش‌فرض 1405</t>
        </is>
      </c>
      <c r="S156" s="9" t="inlineStr">
        <is>
          <t>T103</t>
        </is>
      </c>
      <c r="T156" s="9" t="inlineStr">
        <is>
          <t>بله</t>
        </is>
      </c>
    </row>
    <row r="157">
      <c r="A157" s="9" t="inlineStr">
        <is>
          <t>1405-0156</t>
        </is>
      </c>
      <c r="B157" s="9" t="inlineStr">
        <is>
          <t>فروشگاه شهر کتاب مرکزی</t>
        </is>
      </c>
      <c r="C157" s="9" t="inlineStr">
        <is>
          <t>گزارش</t>
        </is>
      </c>
      <c r="D157" s="9" t="inlineStr">
        <is>
          <t>تهیه گزارش مدیریت ماه آبان</t>
        </is>
      </c>
      <c r="E157" s="9" t="inlineStr">
        <is>
          <t>ماهانه</t>
        </is>
      </c>
      <c r="F157" s="9" t="inlineStr">
        <is>
          <t>آبان</t>
        </is>
      </c>
      <c r="G157" s="10" t="n">
        <v>46357</v>
      </c>
      <c r="H157" s="9" t="inlineStr">
        <is>
          <t>1405/09/10</t>
        </is>
      </c>
      <c r="I157" s="9" t="n">
        <v>5</v>
      </c>
      <c r="J157" s="10">
        <f>IF(G157="","",G157-I157)</f>
        <v/>
      </c>
      <c r="K157" s="9" t="inlineStr">
        <is>
          <t>متوسط</t>
        </is>
      </c>
      <c r="L157" s="9" t="inlineStr">
        <is>
          <t>باز</t>
        </is>
      </c>
      <c r="M157" s="9">
        <f>IF(D157="","",IF(L157="انجام شده","انجام شده",IF(L157="لغو شده","لغو شده",IF(G157&lt;TODAY(),"عقب‌افتاده",IF(G157=TODAY(),"امروز",IF(G157&lt;=TODAY()+7,"تا ۷ روز",IF(G157&lt;=TODAY()+15,"تا ۱۵ روز","آینده")))))))</f>
        <v/>
      </c>
      <c r="N157" s="9" t="inlineStr"/>
      <c r="O157" s="9" t="n">
        <v>0</v>
      </c>
      <c r="P157" s="10" t="n"/>
      <c r="Q157" s="9" t="inlineStr"/>
      <c r="R157" s="9" t="inlineStr">
        <is>
          <t>پیش‌فرض 1405</t>
        </is>
      </c>
      <c r="S157" s="9" t="inlineStr">
        <is>
          <t>T104</t>
        </is>
      </c>
      <c r="T157" s="9" t="inlineStr">
        <is>
          <t>بله</t>
        </is>
      </c>
    </row>
    <row r="158">
      <c r="A158" s="9" t="inlineStr">
        <is>
          <t>1405-0157</t>
        </is>
      </c>
      <c r="B158" s="9" t="inlineStr">
        <is>
          <t>فروشگاه شهر کتاب مرکزی</t>
        </is>
      </c>
      <c r="C158" s="9" t="inlineStr">
        <is>
          <t>حقوق و دستمزد</t>
        </is>
      </c>
      <c r="D158" s="9" t="inlineStr">
        <is>
          <t>محاسبه حقوق و دستمزد ماه آبان</t>
        </is>
      </c>
      <c r="E158" s="9" t="inlineStr">
        <is>
          <t>ماهانه</t>
        </is>
      </c>
      <c r="F158" s="9" t="inlineStr">
        <is>
          <t>آبان</t>
        </is>
      </c>
      <c r="G158" s="10" t="n">
        <v>46345</v>
      </c>
      <c r="H158" s="9" t="inlineStr">
        <is>
          <t>1405/08/28</t>
        </is>
      </c>
      <c r="I158" s="9" t="n">
        <v>5</v>
      </c>
      <c r="J158" s="10">
        <f>IF(G158="","",G158-I158)</f>
        <v/>
      </c>
      <c r="K158" s="9" t="inlineStr">
        <is>
          <t>بالا</t>
        </is>
      </c>
      <c r="L158" s="9" t="inlineStr">
        <is>
          <t>باز</t>
        </is>
      </c>
      <c r="M158" s="9">
        <f>IF(D158="","",IF(L158="انجام شده","انجام شده",IF(L158="لغو شده","لغو شده",IF(G158&lt;TODAY(),"عقب‌افتاده",IF(G158=TODAY(),"امروز",IF(G158&lt;=TODAY()+7,"تا ۷ روز",IF(G158&lt;=TODAY()+15,"تا ۱۵ روز","آینده")))))))</f>
        <v/>
      </c>
      <c r="N158" s="9" t="inlineStr"/>
      <c r="O158" s="9" t="n">
        <v>0</v>
      </c>
      <c r="P158" s="10" t="n"/>
      <c r="Q158" s="9" t="inlineStr"/>
      <c r="R158" s="9" t="inlineStr">
        <is>
          <t>پیش‌فرض 1405</t>
        </is>
      </c>
      <c r="S158" s="9" t="inlineStr">
        <is>
          <t>T105</t>
        </is>
      </c>
      <c r="T158" s="9" t="inlineStr">
        <is>
          <t>بله</t>
        </is>
      </c>
    </row>
    <row r="159">
      <c r="A159" s="9" t="inlineStr">
        <is>
          <t>1405-0158</t>
        </is>
      </c>
      <c r="B159" s="9" t="inlineStr">
        <is>
          <t>فروشگاه شهر کتاب مرکزی</t>
        </is>
      </c>
      <c r="C159" s="9" t="inlineStr">
        <is>
          <t>حقوق و دستمزد</t>
        </is>
      </c>
      <c r="D159" s="9" t="inlineStr">
        <is>
          <t>ارسال/پرداخت لیست بیمه ماه آبان</t>
        </is>
      </c>
      <c r="E159" s="9" t="inlineStr">
        <is>
          <t>ماهانه</t>
        </is>
      </c>
      <c r="F159" s="9" t="inlineStr">
        <is>
          <t>آبان</t>
        </is>
      </c>
      <c r="G159" s="10" t="n">
        <v>46377</v>
      </c>
      <c r="H159" s="9" t="inlineStr">
        <is>
          <t>1405/09/30</t>
        </is>
      </c>
      <c r="I159" s="9" t="n">
        <v>7</v>
      </c>
      <c r="J159" s="10">
        <f>IF(G159="","",G159-I159)</f>
        <v/>
      </c>
      <c r="K159" s="9" t="inlineStr">
        <is>
          <t>خیلی بالا</t>
        </is>
      </c>
      <c r="L159" s="9" t="inlineStr">
        <is>
          <t>باز</t>
        </is>
      </c>
      <c r="M159" s="9">
        <f>IF(D159="","",IF(L159="انجام شده","انجام شده",IF(L159="لغو شده","لغو شده",IF(G159&lt;TODAY(),"عقب‌افتاده",IF(G159=TODAY(),"امروز",IF(G159&lt;=TODAY()+7,"تا ۷ روز",IF(G159&lt;=TODAY()+15,"تا ۱۵ روز","آینده")))))))</f>
        <v/>
      </c>
      <c r="N159" s="9" t="inlineStr"/>
      <c r="O159" s="9" t="n">
        <v>0</v>
      </c>
      <c r="P159" s="10" t="n"/>
      <c r="Q159" s="9" t="inlineStr"/>
      <c r="R159" s="9" t="inlineStr">
        <is>
          <t>پیش‌فرض 1405</t>
        </is>
      </c>
      <c r="S159" s="9" t="inlineStr">
        <is>
          <t>T106</t>
        </is>
      </c>
      <c r="T159" s="9" t="inlineStr">
        <is>
          <t>بله</t>
        </is>
      </c>
    </row>
    <row r="160">
      <c r="A160" s="9" t="inlineStr">
        <is>
          <t>1405-0159</t>
        </is>
      </c>
      <c r="B160" s="9" t="inlineStr">
        <is>
          <t>فروشگاه شهر کتاب مرکزی</t>
        </is>
      </c>
      <c r="C160" s="9" t="inlineStr">
        <is>
          <t>حقوق و دستمزد</t>
        </is>
      </c>
      <c r="D160" s="9" t="inlineStr">
        <is>
          <t>ارسال/پرداخت مالیات حقوق ماه آبان</t>
        </is>
      </c>
      <c r="E160" s="9" t="inlineStr">
        <is>
          <t>ماهانه</t>
        </is>
      </c>
      <c r="F160" s="9" t="inlineStr">
        <is>
          <t>آبان</t>
        </is>
      </c>
      <c r="G160" s="10" t="n">
        <v>46377</v>
      </c>
      <c r="H160" s="9" t="inlineStr">
        <is>
          <t>1405/09/30</t>
        </is>
      </c>
      <c r="I160" s="9" t="n">
        <v>7</v>
      </c>
      <c r="J160" s="10">
        <f>IF(G160="","",G160-I160)</f>
        <v/>
      </c>
      <c r="K160" s="9" t="inlineStr">
        <is>
          <t>خیلی بالا</t>
        </is>
      </c>
      <c r="L160" s="9" t="inlineStr">
        <is>
          <t>باز</t>
        </is>
      </c>
      <c r="M160" s="9">
        <f>IF(D160="","",IF(L160="انجام شده","انجام شده",IF(L160="لغو شده","لغو شده",IF(G160&lt;TODAY(),"عقب‌افتاده",IF(G160=TODAY(),"امروز",IF(G160&lt;=TODAY()+7,"تا ۷ روز",IF(G160&lt;=TODAY()+15,"تا ۱۵ روز","آینده")))))))</f>
        <v/>
      </c>
      <c r="N160" s="9" t="inlineStr"/>
      <c r="O160" s="9" t="n">
        <v>0</v>
      </c>
      <c r="P160" s="10" t="n"/>
      <c r="Q160" s="9" t="inlineStr"/>
      <c r="R160" s="9" t="inlineStr">
        <is>
          <t>پیش‌فرض 1405</t>
        </is>
      </c>
      <c r="S160" s="9" t="inlineStr">
        <is>
          <t>T107</t>
        </is>
      </c>
      <c r="T160" s="9" t="inlineStr">
        <is>
          <t>بله</t>
        </is>
      </c>
    </row>
    <row r="161">
      <c r="A161" s="9" t="inlineStr">
        <is>
          <t>1405-0160</t>
        </is>
      </c>
      <c r="B161" s="9" t="inlineStr">
        <is>
          <t>فروشگاه شهر کتاب مرکزی</t>
        </is>
      </c>
      <c r="C161" s="9" t="inlineStr">
        <is>
          <t>بایگانی</t>
        </is>
      </c>
      <c r="D161" s="9" t="inlineStr">
        <is>
          <t>بایگانی مدارک و اسناد ماه آبان</t>
        </is>
      </c>
      <c r="E161" s="9" t="inlineStr">
        <is>
          <t>ماهانه</t>
        </is>
      </c>
      <c r="F161" s="9" t="inlineStr">
        <is>
          <t>آبان</t>
        </is>
      </c>
      <c r="G161" s="10" t="n">
        <v>46362</v>
      </c>
      <c r="H161" s="9" t="inlineStr">
        <is>
          <t>1405/09/15</t>
        </is>
      </c>
      <c r="I161" s="9" t="n">
        <v>3</v>
      </c>
      <c r="J161" s="10">
        <f>IF(G161="","",G161-I161)</f>
        <v/>
      </c>
      <c r="K161" s="9" t="inlineStr">
        <is>
          <t>متوسط</t>
        </is>
      </c>
      <c r="L161" s="9" t="inlineStr">
        <is>
          <t>باز</t>
        </is>
      </c>
      <c r="M161" s="9">
        <f>IF(D161="","",IF(L161="انجام شده","انجام شده",IF(L161="لغو شده","لغو شده",IF(G161&lt;TODAY(),"عقب‌افتاده",IF(G161=TODAY(),"امروز",IF(G161&lt;=TODAY()+7,"تا ۷ روز",IF(G161&lt;=TODAY()+15,"تا ۱۵ روز","آینده")))))))</f>
        <v/>
      </c>
      <c r="N161" s="9" t="inlineStr"/>
      <c r="O161" s="9" t="n">
        <v>0</v>
      </c>
      <c r="P161" s="10" t="n"/>
      <c r="Q161" s="9" t="inlineStr"/>
      <c r="R161" s="9" t="inlineStr">
        <is>
          <t>پیش‌فرض 1405</t>
        </is>
      </c>
      <c r="S161" s="9" t="inlineStr">
        <is>
          <t>T108</t>
        </is>
      </c>
      <c r="T161" s="9" t="inlineStr">
        <is>
          <t>بله</t>
        </is>
      </c>
    </row>
    <row r="162">
      <c r="A162" s="9" t="inlineStr">
        <is>
          <t>1405-0161</t>
        </is>
      </c>
      <c r="B162" s="9" t="inlineStr">
        <is>
          <t>فروشگاه شهر کتاب مرکزی</t>
        </is>
      </c>
      <c r="C162" s="9" t="inlineStr">
        <is>
          <t>پایان ماه</t>
        </is>
      </c>
      <c r="D162" s="9" t="inlineStr">
        <is>
          <t>مغایرت‌گیری بانکی ماه آذر</t>
        </is>
      </c>
      <c r="E162" s="9" t="inlineStr">
        <is>
          <t>ماهانه</t>
        </is>
      </c>
      <c r="F162" s="9" t="inlineStr">
        <is>
          <t>آذر</t>
        </is>
      </c>
      <c r="G162" s="10" t="n">
        <v>46382</v>
      </c>
      <c r="H162" s="9" t="inlineStr">
        <is>
          <t>1405/10/05</t>
        </is>
      </c>
      <c r="I162" s="9" t="n">
        <v>5</v>
      </c>
      <c r="J162" s="10">
        <f>IF(G162="","",G162-I162)</f>
        <v/>
      </c>
      <c r="K162" s="9" t="inlineStr">
        <is>
          <t>بالا</t>
        </is>
      </c>
      <c r="L162" s="9" t="inlineStr">
        <is>
          <t>باز</t>
        </is>
      </c>
      <c r="M162" s="9">
        <f>IF(D162="","",IF(L162="انجام شده","انجام شده",IF(L162="لغو شده","لغو شده",IF(G162&lt;TODAY(),"عقب‌افتاده",IF(G162=TODAY(),"امروز",IF(G162&lt;=TODAY()+7,"تا ۷ روز",IF(G162&lt;=TODAY()+15,"تا ۱۵ روز","آینده")))))))</f>
        <v/>
      </c>
      <c r="N162" s="9" t="inlineStr"/>
      <c r="O162" s="9" t="n">
        <v>0</v>
      </c>
      <c r="P162" s="10" t="n"/>
      <c r="Q162" s="9" t="inlineStr"/>
      <c r="R162" s="9" t="inlineStr">
        <is>
          <t>پیش‌فرض 1405</t>
        </is>
      </c>
      <c r="S162" s="9" t="inlineStr">
        <is>
          <t>T101</t>
        </is>
      </c>
      <c r="T162" s="9" t="inlineStr">
        <is>
          <t>بله</t>
        </is>
      </c>
    </row>
    <row r="163">
      <c r="A163" s="9" t="inlineStr">
        <is>
          <t>1405-0162</t>
        </is>
      </c>
      <c r="B163" s="9" t="inlineStr">
        <is>
          <t>فروشگاه شهر کتاب مرکزی</t>
        </is>
      </c>
      <c r="C163" s="9" t="inlineStr">
        <is>
          <t>پایان ماه</t>
        </is>
      </c>
      <c r="D163" s="9" t="inlineStr">
        <is>
          <t>کنترل نهایی اسناد ماه آذر</t>
        </is>
      </c>
      <c r="E163" s="9" t="inlineStr">
        <is>
          <t>ماهانه</t>
        </is>
      </c>
      <c r="F163" s="9" t="inlineStr">
        <is>
          <t>آذر</t>
        </is>
      </c>
      <c r="G163" s="10" t="n">
        <v>46384</v>
      </c>
      <c r="H163" s="9" t="inlineStr">
        <is>
          <t>1405/10/07</t>
        </is>
      </c>
      <c r="I163" s="9" t="n">
        <v>5</v>
      </c>
      <c r="J163" s="10">
        <f>IF(G163="","",G163-I163)</f>
        <v/>
      </c>
      <c r="K163" s="9" t="inlineStr">
        <is>
          <t>بالا</t>
        </is>
      </c>
      <c r="L163" s="9" t="inlineStr">
        <is>
          <t>باز</t>
        </is>
      </c>
      <c r="M163" s="9">
        <f>IF(D163="","",IF(L163="انجام شده","انجام شده",IF(L163="لغو شده","لغو شده",IF(G163&lt;TODAY(),"عقب‌افتاده",IF(G163=TODAY(),"امروز",IF(G163&lt;=TODAY()+7,"تا ۷ روز",IF(G163&lt;=TODAY()+15,"تا ۱۵ روز","آینده")))))))</f>
        <v/>
      </c>
      <c r="N163" s="9" t="inlineStr"/>
      <c r="O163" s="9" t="n">
        <v>0</v>
      </c>
      <c r="P163" s="10" t="n"/>
      <c r="Q163" s="9" t="inlineStr"/>
      <c r="R163" s="9" t="inlineStr">
        <is>
          <t>پیش‌فرض 1405</t>
        </is>
      </c>
      <c r="S163" s="9" t="inlineStr">
        <is>
          <t>T102</t>
        </is>
      </c>
      <c r="T163" s="9" t="inlineStr">
        <is>
          <t>بله</t>
        </is>
      </c>
    </row>
    <row r="164">
      <c r="A164" s="9" t="inlineStr">
        <is>
          <t>1405-0163</t>
        </is>
      </c>
      <c r="B164" s="9" t="inlineStr">
        <is>
          <t>فروشگاه شهر کتاب مرکزی</t>
        </is>
      </c>
      <c r="C164" s="9" t="inlineStr">
        <is>
          <t>پایان ماه</t>
        </is>
      </c>
      <c r="D164" s="9" t="inlineStr">
        <is>
          <t>بستن حساب‌های ماه آذر و کنترل مانده‌ها</t>
        </is>
      </c>
      <c r="E164" s="9" t="inlineStr">
        <is>
          <t>ماهانه</t>
        </is>
      </c>
      <c r="F164" s="9" t="inlineStr">
        <is>
          <t>آذر</t>
        </is>
      </c>
      <c r="G164" s="10" t="n">
        <v>46387</v>
      </c>
      <c r="H164" s="9" t="inlineStr">
        <is>
          <t>1405/10/10</t>
        </is>
      </c>
      <c r="I164" s="9" t="n">
        <v>7</v>
      </c>
      <c r="J164" s="10">
        <f>IF(G164="","",G164-I164)</f>
        <v/>
      </c>
      <c r="K164" s="9" t="inlineStr">
        <is>
          <t>بالا</t>
        </is>
      </c>
      <c r="L164" s="9" t="inlineStr">
        <is>
          <t>باز</t>
        </is>
      </c>
      <c r="M164" s="9">
        <f>IF(D164="","",IF(L164="انجام شده","انجام شده",IF(L164="لغو شده","لغو شده",IF(G164&lt;TODAY(),"عقب‌افتاده",IF(G164=TODAY(),"امروز",IF(G164&lt;=TODAY()+7,"تا ۷ روز",IF(G164&lt;=TODAY()+15,"تا ۱۵ روز","آینده")))))))</f>
        <v/>
      </c>
      <c r="N164" s="9" t="inlineStr"/>
      <c r="O164" s="9" t="n">
        <v>0</v>
      </c>
      <c r="P164" s="10" t="n"/>
      <c r="Q164" s="9" t="inlineStr"/>
      <c r="R164" s="9" t="inlineStr">
        <is>
          <t>پیش‌فرض 1405</t>
        </is>
      </c>
      <c r="S164" s="9" t="inlineStr">
        <is>
          <t>T103</t>
        </is>
      </c>
      <c r="T164" s="9" t="inlineStr">
        <is>
          <t>بله</t>
        </is>
      </c>
    </row>
    <row r="165">
      <c r="A165" s="9" t="inlineStr">
        <is>
          <t>1405-0164</t>
        </is>
      </c>
      <c r="B165" s="9" t="inlineStr">
        <is>
          <t>فروشگاه شهر کتاب مرکزی</t>
        </is>
      </c>
      <c r="C165" s="9" t="inlineStr">
        <is>
          <t>گزارش</t>
        </is>
      </c>
      <c r="D165" s="9" t="inlineStr">
        <is>
          <t>تهیه گزارش مدیریت ماه آذر</t>
        </is>
      </c>
      <c r="E165" s="9" t="inlineStr">
        <is>
          <t>ماهانه</t>
        </is>
      </c>
      <c r="F165" s="9" t="inlineStr">
        <is>
          <t>آذر</t>
        </is>
      </c>
      <c r="G165" s="10" t="n">
        <v>46387</v>
      </c>
      <c r="H165" s="9" t="inlineStr">
        <is>
          <t>1405/10/10</t>
        </is>
      </c>
      <c r="I165" s="9" t="n">
        <v>5</v>
      </c>
      <c r="J165" s="10">
        <f>IF(G165="","",G165-I165)</f>
        <v/>
      </c>
      <c r="K165" s="9" t="inlineStr">
        <is>
          <t>متوسط</t>
        </is>
      </c>
      <c r="L165" s="9" t="inlineStr">
        <is>
          <t>باز</t>
        </is>
      </c>
      <c r="M165" s="9">
        <f>IF(D165="","",IF(L165="انجام شده","انجام شده",IF(L165="لغو شده","لغو شده",IF(G165&lt;TODAY(),"عقب‌افتاده",IF(G165=TODAY(),"امروز",IF(G165&lt;=TODAY()+7,"تا ۷ روز",IF(G165&lt;=TODAY()+15,"تا ۱۵ روز","آینده")))))))</f>
        <v/>
      </c>
      <c r="N165" s="9" t="inlineStr"/>
      <c r="O165" s="9" t="n">
        <v>0</v>
      </c>
      <c r="P165" s="10" t="n"/>
      <c r="Q165" s="9" t="inlineStr"/>
      <c r="R165" s="9" t="inlineStr">
        <is>
          <t>پیش‌فرض 1405</t>
        </is>
      </c>
      <c r="S165" s="9" t="inlineStr">
        <is>
          <t>T104</t>
        </is>
      </c>
      <c r="T165" s="9" t="inlineStr">
        <is>
          <t>بله</t>
        </is>
      </c>
    </row>
    <row r="166">
      <c r="A166" s="9" t="inlineStr">
        <is>
          <t>1405-0165</t>
        </is>
      </c>
      <c r="B166" s="9" t="inlineStr">
        <is>
          <t>فروشگاه شهر کتاب مرکزی</t>
        </is>
      </c>
      <c r="C166" s="9" t="inlineStr">
        <is>
          <t>حقوق و دستمزد</t>
        </is>
      </c>
      <c r="D166" s="9" t="inlineStr">
        <is>
          <t>محاسبه حقوق و دستمزد ماه آذر</t>
        </is>
      </c>
      <c r="E166" s="9" t="inlineStr">
        <is>
          <t>ماهانه</t>
        </is>
      </c>
      <c r="F166" s="9" t="inlineStr">
        <is>
          <t>آذر</t>
        </is>
      </c>
      <c r="G166" s="10" t="n">
        <v>46375</v>
      </c>
      <c r="H166" s="9" t="inlineStr">
        <is>
          <t>1405/09/28</t>
        </is>
      </c>
      <c r="I166" s="9" t="n">
        <v>5</v>
      </c>
      <c r="J166" s="10">
        <f>IF(G166="","",G166-I166)</f>
        <v/>
      </c>
      <c r="K166" s="9" t="inlineStr">
        <is>
          <t>بالا</t>
        </is>
      </c>
      <c r="L166" s="9" t="inlineStr">
        <is>
          <t>باز</t>
        </is>
      </c>
      <c r="M166" s="9">
        <f>IF(D166="","",IF(L166="انجام شده","انجام شده",IF(L166="لغو شده","لغو شده",IF(G166&lt;TODAY(),"عقب‌افتاده",IF(G166=TODAY(),"امروز",IF(G166&lt;=TODAY()+7,"تا ۷ روز",IF(G166&lt;=TODAY()+15,"تا ۱۵ روز","آینده")))))))</f>
        <v/>
      </c>
      <c r="N166" s="9" t="inlineStr"/>
      <c r="O166" s="9" t="n">
        <v>0</v>
      </c>
      <c r="P166" s="10" t="n"/>
      <c r="Q166" s="9" t="inlineStr"/>
      <c r="R166" s="9" t="inlineStr">
        <is>
          <t>پیش‌فرض 1405</t>
        </is>
      </c>
      <c r="S166" s="9" t="inlineStr">
        <is>
          <t>T105</t>
        </is>
      </c>
      <c r="T166" s="9" t="inlineStr">
        <is>
          <t>بله</t>
        </is>
      </c>
    </row>
    <row r="167">
      <c r="A167" s="9" t="inlineStr">
        <is>
          <t>1405-0166</t>
        </is>
      </c>
      <c r="B167" s="9" t="inlineStr">
        <is>
          <t>فروشگاه شهر کتاب مرکزی</t>
        </is>
      </c>
      <c r="C167" s="9" t="inlineStr">
        <is>
          <t>حقوق و دستمزد</t>
        </is>
      </c>
      <c r="D167" s="9" t="inlineStr">
        <is>
          <t>ارسال/پرداخت لیست بیمه ماه آذر</t>
        </is>
      </c>
      <c r="E167" s="9" t="inlineStr">
        <is>
          <t>ماهانه</t>
        </is>
      </c>
      <c r="F167" s="9" t="inlineStr">
        <is>
          <t>آذر</t>
        </is>
      </c>
      <c r="G167" s="10" t="n">
        <v>46407</v>
      </c>
      <c r="H167" s="9" t="inlineStr">
        <is>
          <t>1405/10/30</t>
        </is>
      </c>
      <c r="I167" s="9" t="n">
        <v>7</v>
      </c>
      <c r="J167" s="10">
        <f>IF(G167="","",G167-I167)</f>
        <v/>
      </c>
      <c r="K167" s="9" t="inlineStr">
        <is>
          <t>خیلی بالا</t>
        </is>
      </c>
      <c r="L167" s="9" t="inlineStr">
        <is>
          <t>باز</t>
        </is>
      </c>
      <c r="M167" s="9">
        <f>IF(D167="","",IF(L167="انجام شده","انجام شده",IF(L167="لغو شده","لغو شده",IF(G167&lt;TODAY(),"عقب‌افتاده",IF(G167=TODAY(),"امروز",IF(G167&lt;=TODAY()+7,"تا ۷ روز",IF(G167&lt;=TODAY()+15,"تا ۱۵ روز","آینده")))))))</f>
        <v/>
      </c>
      <c r="N167" s="9" t="inlineStr"/>
      <c r="O167" s="9" t="n">
        <v>0</v>
      </c>
      <c r="P167" s="10" t="n"/>
      <c r="Q167" s="9" t="inlineStr"/>
      <c r="R167" s="9" t="inlineStr">
        <is>
          <t>پیش‌فرض 1405</t>
        </is>
      </c>
      <c r="S167" s="9" t="inlineStr">
        <is>
          <t>T106</t>
        </is>
      </c>
      <c r="T167" s="9" t="inlineStr">
        <is>
          <t>بله</t>
        </is>
      </c>
    </row>
    <row r="168">
      <c r="A168" s="9" t="inlineStr">
        <is>
          <t>1405-0167</t>
        </is>
      </c>
      <c r="B168" s="9" t="inlineStr">
        <is>
          <t>فروشگاه شهر کتاب مرکزی</t>
        </is>
      </c>
      <c r="C168" s="9" t="inlineStr">
        <is>
          <t>حقوق و دستمزد</t>
        </is>
      </c>
      <c r="D168" s="9" t="inlineStr">
        <is>
          <t>ارسال/پرداخت مالیات حقوق ماه آذر</t>
        </is>
      </c>
      <c r="E168" s="9" t="inlineStr">
        <is>
          <t>ماهانه</t>
        </is>
      </c>
      <c r="F168" s="9" t="inlineStr">
        <is>
          <t>آذر</t>
        </is>
      </c>
      <c r="G168" s="10" t="n">
        <v>46407</v>
      </c>
      <c r="H168" s="9" t="inlineStr">
        <is>
          <t>1405/10/30</t>
        </is>
      </c>
      <c r="I168" s="9" t="n">
        <v>7</v>
      </c>
      <c r="J168" s="10">
        <f>IF(G168="","",G168-I168)</f>
        <v/>
      </c>
      <c r="K168" s="9" t="inlineStr">
        <is>
          <t>خیلی بالا</t>
        </is>
      </c>
      <c r="L168" s="9" t="inlineStr">
        <is>
          <t>باز</t>
        </is>
      </c>
      <c r="M168" s="9">
        <f>IF(D168="","",IF(L168="انجام شده","انجام شده",IF(L168="لغو شده","لغو شده",IF(G168&lt;TODAY(),"عقب‌افتاده",IF(G168=TODAY(),"امروز",IF(G168&lt;=TODAY()+7,"تا ۷ روز",IF(G168&lt;=TODAY()+15,"تا ۱۵ روز","آینده")))))))</f>
        <v/>
      </c>
      <c r="N168" s="9" t="inlineStr"/>
      <c r="O168" s="9" t="n">
        <v>0</v>
      </c>
      <c r="P168" s="10" t="n"/>
      <c r="Q168" s="9" t="inlineStr"/>
      <c r="R168" s="9" t="inlineStr">
        <is>
          <t>پیش‌فرض 1405</t>
        </is>
      </c>
      <c r="S168" s="9" t="inlineStr">
        <is>
          <t>T107</t>
        </is>
      </c>
      <c r="T168" s="9" t="inlineStr">
        <is>
          <t>بله</t>
        </is>
      </c>
    </row>
    <row r="169">
      <c r="A169" s="9" t="inlineStr">
        <is>
          <t>1405-0168</t>
        </is>
      </c>
      <c r="B169" s="9" t="inlineStr">
        <is>
          <t>فروشگاه شهر کتاب مرکزی</t>
        </is>
      </c>
      <c r="C169" s="9" t="inlineStr">
        <is>
          <t>بایگانی</t>
        </is>
      </c>
      <c r="D169" s="9" t="inlineStr">
        <is>
          <t>بایگانی مدارک و اسناد ماه آذر</t>
        </is>
      </c>
      <c r="E169" s="9" t="inlineStr">
        <is>
          <t>ماهانه</t>
        </is>
      </c>
      <c r="F169" s="9" t="inlineStr">
        <is>
          <t>آذر</t>
        </is>
      </c>
      <c r="G169" s="10" t="n">
        <v>46392</v>
      </c>
      <c r="H169" s="9" t="inlineStr">
        <is>
          <t>1405/10/15</t>
        </is>
      </c>
      <c r="I169" s="9" t="n">
        <v>3</v>
      </c>
      <c r="J169" s="10">
        <f>IF(G169="","",G169-I169)</f>
        <v/>
      </c>
      <c r="K169" s="9" t="inlineStr">
        <is>
          <t>متوسط</t>
        </is>
      </c>
      <c r="L169" s="9" t="inlineStr">
        <is>
          <t>باز</t>
        </is>
      </c>
      <c r="M169" s="9">
        <f>IF(D169="","",IF(L169="انجام شده","انجام شده",IF(L169="لغو شده","لغو شده",IF(G169&lt;TODAY(),"عقب‌افتاده",IF(G169=TODAY(),"امروز",IF(G169&lt;=TODAY()+7,"تا ۷ روز",IF(G169&lt;=TODAY()+15,"تا ۱۵ روز","آینده")))))))</f>
        <v/>
      </c>
      <c r="N169" s="9" t="inlineStr"/>
      <c r="O169" s="9" t="n">
        <v>0</v>
      </c>
      <c r="P169" s="10" t="n"/>
      <c r="Q169" s="9" t="inlineStr"/>
      <c r="R169" s="9" t="inlineStr">
        <is>
          <t>پیش‌فرض 1405</t>
        </is>
      </c>
      <c r="S169" s="9" t="inlineStr">
        <is>
          <t>T108</t>
        </is>
      </c>
      <c r="T169" s="9" t="inlineStr">
        <is>
          <t>بله</t>
        </is>
      </c>
    </row>
    <row r="170">
      <c r="A170" s="9" t="inlineStr">
        <is>
          <t>1405-0169</t>
        </is>
      </c>
      <c r="B170" s="9" t="inlineStr">
        <is>
          <t>فروشگاه شهر کتاب مرکزی</t>
        </is>
      </c>
      <c r="C170" s="9" t="inlineStr">
        <is>
          <t>پایان ماه</t>
        </is>
      </c>
      <c r="D170" s="9" t="inlineStr">
        <is>
          <t>مغایرت‌گیری بانکی ماه دی</t>
        </is>
      </c>
      <c r="E170" s="9" t="inlineStr">
        <is>
          <t>ماهانه</t>
        </is>
      </c>
      <c r="F170" s="9" t="inlineStr">
        <is>
          <t>دی</t>
        </is>
      </c>
      <c r="G170" s="10" t="n">
        <v>46412</v>
      </c>
      <c r="H170" s="9" t="inlineStr">
        <is>
          <t>1405/11/05</t>
        </is>
      </c>
      <c r="I170" s="9" t="n">
        <v>5</v>
      </c>
      <c r="J170" s="10">
        <f>IF(G170="","",G170-I170)</f>
        <v/>
      </c>
      <c r="K170" s="9" t="inlineStr">
        <is>
          <t>بالا</t>
        </is>
      </c>
      <c r="L170" s="9" t="inlineStr">
        <is>
          <t>باز</t>
        </is>
      </c>
      <c r="M170" s="9">
        <f>IF(D170="","",IF(L170="انجام شده","انجام شده",IF(L170="لغو شده","لغو شده",IF(G170&lt;TODAY(),"عقب‌افتاده",IF(G170=TODAY(),"امروز",IF(G170&lt;=TODAY()+7,"تا ۷ روز",IF(G170&lt;=TODAY()+15,"تا ۱۵ روز","آینده")))))))</f>
        <v/>
      </c>
      <c r="N170" s="9" t="inlineStr"/>
      <c r="O170" s="9" t="n">
        <v>0</v>
      </c>
      <c r="P170" s="10" t="n"/>
      <c r="Q170" s="9" t="inlineStr"/>
      <c r="R170" s="9" t="inlineStr">
        <is>
          <t>پیش‌فرض 1405</t>
        </is>
      </c>
      <c r="S170" s="9" t="inlineStr">
        <is>
          <t>T101</t>
        </is>
      </c>
      <c r="T170" s="9" t="inlineStr">
        <is>
          <t>بله</t>
        </is>
      </c>
    </row>
    <row r="171">
      <c r="A171" s="9" t="inlineStr">
        <is>
          <t>1405-0170</t>
        </is>
      </c>
      <c r="B171" s="9" t="inlineStr">
        <is>
          <t>فروشگاه شهر کتاب مرکزی</t>
        </is>
      </c>
      <c r="C171" s="9" t="inlineStr">
        <is>
          <t>پایان ماه</t>
        </is>
      </c>
      <c r="D171" s="9" t="inlineStr">
        <is>
          <t>کنترل نهایی اسناد ماه دی</t>
        </is>
      </c>
      <c r="E171" s="9" t="inlineStr">
        <is>
          <t>ماهانه</t>
        </is>
      </c>
      <c r="F171" s="9" t="inlineStr">
        <is>
          <t>دی</t>
        </is>
      </c>
      <c r="G171" s="10" t="n">
        <v>46414</v>
      </c>
      <c r="H171" s="9" t="inlineStr">
        <is>
          <t>1405/11/07</t>
        </is>
      </c>
      <c r="I171" s="9" t="n">
        <v>5</v>
      </c>
      <c r="J171" s="10">
        <f>IF(G171="","",G171-I171)</f>
        <v/>
      </c>
      <c r="K171" s="9" t="inlineStr">
        <is>
          <t>بالا</t>
        </is>
      </c>
      <c r="L171" s="9" t="inlineStr">
        <is>
          <t>باز</t>
        </is>
      </c>
      <c r="M171" s="9">
        <f>IF(D171="","",IF(L171="انجام شده","انجام شده",IF(L171="لغو شده","لغو شده",IF(G171&lt;TODAY(),"عقب‌افتاده",IF(G171=TODAY(),"امروز",IF(G171&lt;=TODAY()+7,"تا ۷ روز",IF(G171&lt;=TODAY()+15,"تا ۱۵ روز","آینده")))))))</f>
        <v/>
      </c>
      <c r="N171" s="9" t="inlineStr"/>
      <c r="O171" s="9" t="n">
        <v>0</v>
      </c>
      <c r="P171" s="10" t="n"/>
      <c r="Q171" s="9" t="inlineStr"/>
      <c r="R171" s="9" t="inlineStr">
        <is>
          <t>پیش‌فرض 1405</t>
        </is>
      </c>
      <c r="S171" s="9" t="inlineStr">
        <is>
          <t>T102</t>
        </is>
      </c>
      <c r="T171" s="9" t="inlineStr">
        <is>
          <t>بله</t>
        </is>
      </c>
    </row>
    <row r="172">
      <c r="A172" s="9" t="inlineStr">
        <is>
          <t>1405-0171</t>
        </is>
      </c>
      <c r="B172" s="9" t="inlineStr">
        <is>
          <t>فروشگاه شهر کتاب مرکزی</t>
        </is>
      </c>
      <c r="C172" s="9" t="inlineStr">
        <is>
          <t>پایان ماه</t>
        </is>
      </c>
      <c r="D172" s="9" t="inlineStr">
        <is>
          <t>بستن حساب‌های ماه دی و کنترل مانده‌ها</t>
        </is>
      </c>
      <c r="E172" s="9" t="inlineStr">
        <is>
          <t>ماهانه</t>
        </is>
      </c>
      <c r="F172" s="9" t="inlineStr">
        <is>
          <t>دی</t>
        </is>
      </c>
      <c r="G172" s="10" t="n">
        <v>46417</v>
      </c>
      <c r="H172" s="9" t="inlineStr">
        <is>
          <t>1405/11/10</t>
        </is>
      </c>
      <c r="I172" s="9" t="n">
        <v>7</v>
      </c>
      <c r="J172" s="10">
        <f>IF(G172="","",G172-I172)</f>
        <v/>
      </c>
      <c r="K172" s="9" t="inlineStr">
        <is>
          <t>بالا</t>
        </is>
      </c>
      <c r="L172" s="9" t="inlineStr">
        <is>
          <t>باز</t>
        </is>
      </c>
      <c r="M172" s="9">
        <f>IF(D172="","",IF(L172="انجام شده","انجام شده",IF(L172="لغو شده","لغو شده",IF(G172&lt;TODAY(),"عقب‌افتاده",IF(G172=TODAY(),"امروز",IF(G172&lt;=TODAY()+7,"تا ۷ روز",IF(G172&lt;=TODAY()+15,"تا ۱۵ روز","آینده")))))))</f>
        <v/>
      </c>
      <c r="N172" s="9" t="inlineStr"/>
      <c r="O172" s="9" t="n">
        <v>0</v>
      </c>
      <c r="P172" s="10" t="n"/>
      <c r="Q172" s="9" t="inlineStr"/>
      <c r="R172" s="9" t="inlineStr">
        <is>
          <t>پیش‌فرض 1405</t>
        </is>
      </c>
      <c r="S172" s="9" t="inlineStr">
        <is>
          <t>T103</t>
        </is>
      </c>
      <c r="T172" s="9" t="inlineStr">
        <is>
          <t>بله</t>
        </is>
      </c>
    </row>
    <row r="173">
      <c r="A173" s="9" t="inlineStr">
        <is>
          <t>1405-0172</t>
        </is>
      </c>
      <c r="B173" s="9" t="inlineStr">
        <is>
          <t>فروشگاه شهر کتاب مرکزی</t>
        </is>
      </c>
      <c r="C173" s="9" t="inlineStr">
        <is>
          <t>گزارش</t>
        </is>
      </c>
      <c r="D173" s="9" t="inlineStr">
        <is>
          <t>تهیه گزارش مدیریت ماه دی</t>
        </is>
      </c>
      <c r="E173" s="9" t="inlineStr">
        <is>
          <t>ماهانه</t>
        </is>
      </c>
      <c r="F173" s="9" t="inlineStr">
        <is>
          <t>دی</t>
        </is>
      </c>
      <c r="G173" s="10" t="n">
        <v>46417</v>
      </c>
      <c r="H173" s="9" t="inlineStr">
        <is>
          <t>1405/11/10</t>
        </is>
      </c>
      <c r="I173" s="9" t="n">
        <v>5</v>
      </c>
      <c r="J173" s="10">
        <f>IF(G173="","",G173-I173)</f>
        <v/>
      </c>
      <c r="K173" s="9" t="inlineStr">
        <is>
          <t>متوسط</t>
        </is>
      </c>
      <c r="L173" s="9" t="inlineStr">
        <is>
          <t>باز</t>
        </is>
      </c>
      <c r="M173" s="9">
        <f>IF(D173="","",IF(L173="انجام شده","انجام شده",IF(L173="لغو شده","لغو شده",IF(G173&lt;TODAY(),"عقب‌افتاده",IF(G173=TODAY(),"امروز",IF(G173&lt;=TODAY()+7,"تا ۷ روز",IF(G173&lt;=TODAY()+15,"تا ۱۵ روز","آینده")))))))</f>
        <v/>
      </c>
      <c r="N173" s="9" t="inlineStr"/>
      <c r="O173" s="9" t="n">
        <v>0</v>
      </c>
      <c r="P173" s="10" t="n"/>
      <c r="Q173" s="9" t="inlineStr"/>
      <c r="R173" s="9" t="inlineStr">
        <is>
          <t>پیش‌فرض 1405</t>
        </is>
      </c>
      <c r="S173" s="9" t="inlineStr">
        <is>
          <t>T104</t>
        </is>
      </c>
      <c r="T173" s="9" t="inlineStr">
        <is>
          <t>بله</t>
        </is>
      </c>
    </row>
    <row r="174">
      <c r="A174" s="9" t="inlineStr">
        <is>
          <t>1405-0173</t>
        </is>
      </c>
      <c r="B174" s="9" t="inlineStr">
        <is>
          <t>فروشگاه شهر کتاب مرکزی</t>
        </is>
      </c>
      <c r="C174" s="9" t="inlineStr">
        <is>
          <t>حقوق و دستمزد</t>
        </is>
      </c>
      <c r="D174" s="9" t="inlineStr">
        <is>
          <t>محاسبه حقوق و دستمزد ماه دی</t>
        </is>
      </c>
      <c r="E174" s="9" t="inlineStr">
        <is>
          <t>ماهانه</t>
        </is>
      </c>
      <c r="F174" s="9" t="inlineStr">
        <is>
          <t>دی</t>
        </is>
      </c>
      <c r="G174" s="10" t="n">
        <v>46405</v>
      </c>
      <c r="H174" s="9" t="inlineStr">
        <is>
          <t>1405/10/28</t>
        </is>
      </c>
      <c r="I174" s="9" t="n">
        <v>5</v>
      </c>
      <c r="J174" s="10">
        <f>IF(G174="","",G174-I174)</f>
        <v/>
      </c>
      <c r="K174" s="9" t="inlineStr">
        <is>
          <t>بالا</t>
        </is>
      </c>
      <c r="L174" s="9" t="inlineStr">
        <is>
          <t>باز</t>
        </is>
      </c>
      <c r="M174" s="9">
        <f>IF(D174="","",IF(L174="انجام شده","انجام شده",IF(L174="لغو شده","لغو شده",IF(G174&lt;TODAY(),"عقب‌افتاده",IF(G174=TODAY(),"امروز",IF(G174&lt;=TODAY()+7,"تا ۷ روز",IF(G174&lt;=TODAY()+15,"تا ۱۵ روز","آینده")))))))</f>
        <v/>
      </c>
      <c r="N174" s="9" t="inlineStr"/>
      <c r="O174" s="9" t="n">
        <v>0</v>
      </c>
      <c r="P174" s="10" t="n"/>
      <c r="Q174" s="9" t="inlineStr"/>
      <c r="R174" s="9" t="inlineStr">
        <is>
          <t>پیش‌فرض 1405</t>
        </is>
      </c>
      <c r="S174" s="9" t="inlineStr">
        <is>
          <t>T105</t>
        </is>
      </c>
      <c r="T174" s="9" t="inlineStr">
        <is>
          <t>بله</t>
        </is>
      </c>
    </row>
    <row r="175">
      <c r="A175" s="9" t="inlineStr">
        <is>
          <t>1405-0174</t>
        </is>
      </c>
      <c r="B175" s="9" t="inlineStr">
        <is>
          <t>فروشگاه شهر کتاب مرکزی</t>
        </is>
      </c>
      <c r="C175" s="9" t="inlineStr">
        <is>
          <t>حقوق و دستمزد</t>
        </is>
      </c>
      <c r="D175" s="9" t="inlineStr">
        <is>
          <t>ارسال/پرداخت لیست بیمه ماه دی</t>
        </is>
      </c>
      <c r="E175" s="9" t="inlineStr">
        <is>
          <t>ماهانه</t>
        </is>
      </c>
      <c r="F175" s="9" t="inlineStr">
        <is>
          <t>دی</t>
        </is>
      </c>
      <c r="G175" s="10" t="n">
        <v>46437</v>
      </c>
      <c r="H175" s="9" t="inlineStr">
        <is>
          <t>1405/11/30</t>
        </is>
      </c>
      <c r="I175" s="9" t="n">
        <v>7</v>
      </c>
      <c r="J175" s="10">
        <f>IF(G175="","",G175-I175)</f>
        <v/>
      </c>
      <c r="K175" s="9" t="inlineStr">
        <is>
          <t>خیلی بالا</t>
        </is>
      </c>
      <c r="L175" s="9" t="inlineStr">
        <is>
          <t>باز</t>
        </is>
      </c>
      <c r="M175" s="9">
        <f>IF(D175="","",IF(L175="انجام شده","انجام شده",IF(L175="لغو شده","لغو شده",IF(G175&lt;TODAY(),"عقب‌افتاده",IF(G175=TODAY(),"امروز",IF(G175&lt;=TODAY()+7,"تا ۷ روز",IF(G175&lt;=TODAY()+15,"تا ۱۵ روز","آینده")))))))</f>
        <v/>
      </c>
      <c r="N175" s="9" t="inlineStr"/>
      <c r="O175" s="9" t="n">
        <v>0</v>
      </c>
      <c r="P175" s="10" t="n"/>
      <c r="Q175" s="9" t="inlineStr"/>
      <c r="R175" s="9" t="inlineStr">
        <is>
          <t>پیش‌فرض 1405</t>
        </is>
      </c>
      <c r="S175" s="9" t="inlineStr">
        <is>
          <t>T106</t>
        </is>
      </c>
      <c r="T175" s="9" t="inlineStr">
        <is>
          <t>بله</t>
        </is>
      </c>
    </row>
    <row r="176">
      <c r="A176" s="9" t="inlineStr">
        <is>
          <t>1405-0175</t>
        </is>
      </c>
      <c r="B176" s="9" t="inlineStr">
        <is>
          <t>فروشگاه شهر کتاب مرکزی</t>
        </is>
      </c>
      <c r="C176" s="9" t="inlineStr">
        <is>
          <t>حقوق و دستمزد</t>
        </is>
      </c>
      <c r="D176" s="9" t="inlineStr">
        <is>
          <t>ارسال/پرداخت مالیات حقوق ماه دی</t>
        </is>
      </c>
      <c r="E176" s="9" t="inlineStr">
        <is>
          <t>ماهانه</t>
        </is>
      </c>
      <c r="F176" s="9" t="inlineStr">
        <is>
          <t>دی</t>
        </is>
      </c>
      <c r="G176" s="10" t="n">
        <v>46437</v>
      </c>
      <c r="H176" s="9" t="inlineStr">
        <is>
          <t>1405/11/30</t>
        </is>
      </c>
      <c r="I176" s="9" t="n">
        <v>7</v>
      </c>
      <c r="J176" s="10">
        <f>IF(G176="","",G176-I176)</f>
        <v/>
      </c>
      <c r="K176" s="9" t="inlineStr">
        <is>
          <t>خیلی بالا</t>
        </is>
      </c>
      <c r="L176" s="9" t="inlineStr">
        <is>
          <t>باز</t>
        </is>
      </c>
      <c r="M176" s="9">
        <f>IF(D176="","",IF(L176="انجام شده","انجام شده",IF(L176="لغو شده","لغو شده",IF(G176&lt;TODAY(),"عقب‌افتاده",IF(G176=TODAY(),"امروز",IF(G176&lt;=TODAY()+7,"تا ۷ روز",IF(G176&lt;=TODAY()+15,"تا ۱۵ روز","آینده")))))))</f>
        <v/>
      </c>
      <c r="N176" s="9" t="inlineStr"/>
      <c r="O176" s="9" t="n">
        <v>0</v>
      </c>
      <c r="P176" s="10" t="n"/>
      <c r="Q176" s="9" t="inlineStr"/>
      <c r="R176" s="9" t="inlineStr">
        <is>
          <t>پیش‌فرض 1405</t>
        </is>
      </c>
      <c r="S176" s="9" t="inlineStr">
        <is>
          <t>T107</t>
        </is>
      </c>
      <c r="T176" s="9" t="inlineStr">
        <is>
          <t>بله</t>
        </is>
      </c>
    </row>
    <row r="177">
      <c r="A177" s="9" t="inlineStr">
        <is>
          <t>1405-0176</t>
        </is>
      </c>
      <c r="B177" s="9" t="inlineStr">
        <is>
          <t>فروشگاه شهر کتاب مرکزی</t>
        </is>
      </c>
      <c r="C177" s="9" t="inlineStr">
        <is>
          <t>بایگانی</t>
        </is>
      </c>
      <c r="D177" s="9" t="inlineStr">
        <is>
          <t>بایگانی مدارک و اسناد ماه دی</t>
        </is>
      </c>
      <c r="E177" s="9" t="inlineStr">
        <is>
          <t>ماهانه</t>
        </is>
      </c>
      <c r="F177" s="9" t="inlineStr">
        <is>
          <t>دی</t>
        </is>
      </c>
      <c r="G177" s="10" t="n">
        <v>46422</v>
      </c>
      <c r="H177" s="9" t="inlineStr">
        <is>
          <t>1405/11/15</t>
        </is>
      </c>
      <c r="I177" s="9" t="n">
        <v>3</v>
      </c>
      <c r="J177" s="10">
        <f>IF(G177="","",G177-I177)</f>
        <v/>
      </c>
      <c r="K177" s="9" t="inlineStr">
        <is>
          <t>متوسط</t>
        </is>
      </c>
      <c r="L177" s="9" t="inlineStr">
        <is>
          <t>باز</t>
        </is>
      </c>
      <c r="M177" s="9">
        <f>IF(D177="","",IF(L177="انجام شده","انجام شده",IF(L177="لغو شده","لغو شده",IF(G177&lt;TODAY(),"عقب‌افتاده",IF(G177=TODAY(),"امروز",IF(G177&lt;=TODAY()+7,"تا ۷ روز",IF(G177&lt;=TODAY()+15,"تا ۱۵ روز","آینده")))))))</f>
        <v/>
      </c>
      <c r="N177" s="9" t="inlineStr"/>
      <c r="O177" s="9" t="n">
        <v>0</v>
      </c>
      <c r="P177" s="10" t="n"/>
      <c r="Q177" s="9" t="inlineStr"/>
      <c r="R177" s="9" t="inlineStr">
        <is>
          <t>پیش‌فرض 1405</t>
        </is>
      </c>
      <c r="S177" s="9" t="inlineStr">
        <is>
          <t>T108</t>
        </is>
      </c>
      <c r="T177" s="9" t="inlineStr">
        <is>
          <t>بله</t>
        </is>
      </c>
    </row>
    <row r="178">
      <c r="A178" s="9" t="inlineStr">
        <is>
          <t>1405-0177</t>
        </is>
      </c>
      <c r="B178" s="9" t="inlineStr">
        <is>
          <t>فروشگاه شهر کتاب مرکزی</t>
        </is>
      </c>
      <c r="C178" s="9" t="inlineStr">
        <is>
          <t>پایان ماه</t>
        </is>
      </c>
      <c r="D178" s="9" t="inlineStr">
        <is>
          <t>مغایرت‌گیری بانکی ماه بهمن</t>
        </is>
      </c>
      <c r="E178" s="9" t="inlineStr">
        <is>
          <t>ماهانه</t>
        </is>
      </c>
      <c r="F178" s="9" t="inlineStr">
        <is>
          <t>بهمن</t>
        </is>
      </c>
      <c r="G178" s="10" t="n">
        <v>46442</v>
      </c>
      <c r="H178" s="9" t="inlineStr">
        <is>
          <t>1405/12/05</t>
        </is>
      </c>
      <c r="I178" s="9" t="n">
        <v>5</v>
      </c>
      <c r="J178" s="10">
        <f>IF(G178="","",G178-I178)</f>
        <v/>
      </c>
      <c r="K178" s="9" t="inlineStr">
        <is>
          <t>بالا</t>
        </is>
      </c>
      <c r="L178" s="9" t="inlineStr">
        <is>
          <t>باز</t>
        </is>
      </c>
      <c r="M178" s="9">
        <f>IF(D178="","",IF(L178="انجام شده","انجام شده",IF(L178="لغو شده","لغو شده",IF(G178&lt;TODAY(),"عقب‌افتاده",IF(G178=TODAY(),"امروز",IF(G178&lt;=TODAY()+7,"تا ۷ روز",IF(G178&lt;=TODAY()+15,"تا ۱۵ روز","آینده")))))))</f>
        <v/>
      </c>
      <c r="N178" s="9" t="inlineStr"/>
      <c r="O178" s="9" t="n">
        <v>0</v>
      </c>
      <c r="P178" s="10" t="n"/>
      <c r="Q178" s="9" t="inlineStr"/>
      <c r="R178" s="9" t="inlineStr">
        <is>
          <t>پیش‌فرض 1405</t>
        </is>
      </c>
      <c r="S178" s="9" t="inlineStr">
        <is>
          <t>T101</t>
        </is>
      </c>
      <c r="T178" s="9" t="inlineStr">
        <is>
          <t>بله</t>
        </is>
      </c>
    </row>
    <row r="179">
      <c r="A179" s="9" t="inlineStr">
        <is>
          <t>1405-0178</t>
        </is>
      </c>
      <c r="B179" s="9" t="inlineStr">
        <is>
          <t>فروشگاه شهر کتاب مرکزی</t>
        </is>
      </c>
      <c r="C179" s="9" t="inlineStr">
        <is>
          <t>پایان ماه</t>
        </is>
      </c>
      <c r="D179" s="9" t="inlineStr">
        <is>
          <t>کنترل نهایی اسناد ماه بهمن</t>
        </is>
      </c>
      <c r="E179" s="9" t="inlineStr">
        <is>
          <t>ماهانه</t>
        </is>
      </c>
      <c r="F179" s="9" t="inlineStr">
        <is>
          <t>بهمن</t>
        </is>
      </c>
      <c r="G179" s="10" t="n">
        <v>46444</v>
      </c>
      <c r="H179" s="9" t="inlineStr">
        <is>
          <t>1405/12/07</t>
        </is>
      </c>
      <c r="I179" s="9" t="n">
        <v>5</v>
      </c>
      <c r="J179" s="10">
        <f>IF(G179="","",G179-I179)</f>
        <v/>
      </c>
      <c r="K179" s="9" t="inlineStr">
        <is>
          <t>بالا</t>
        </is>
      </c>
      <c r="L179" s="9" t="inlineStr">
        <is>
          <t>باز</t>
        </is>
      </c>
      <c r="M179" s="9">
        <f>IF(D179="","",IF(L179="انجام شده","انجام شده",IF(L179="لغو شده","لغو شده",IF(G179&lt;TODAY(),"عقب‌افتاده",IF(G179=TODAY(),"امروز",IF(G179&lt;=TODAY()+7,"تا ۷ روز",IF(G179&lt;=TODAY()+15,"تا ۱۵ روز","آینده")))))))</f>
        <v/>
      </c>
      <c r="N179" s="9" t="inlineStr"/>
      <c r="O179" s="9" t="n">
        <v>0</v>
      </c>
      <c r="P179" s="10" t="n"/>
      <c r="Q179" s="9" t="inlineStr"/>
      <c r="R179" s="9" t="inlineStr">
        <is>
          <t>پیش‌فرض 1405</t>
        </is>
      </c>
      <c r="S179" s="9" t="inlineStr">
        <is>
          <t>T102</t>
        </is>
      </c>
      <c r="T179" s="9" t="inlineStr">
        <is>
          <t>بله</t>
        </is>
      </c>
    </row>
    <row r="180">
      <c r="A180" s="9" t="inlineStr">
        <is>
          <t>1405-0179</t>
        </is>
      </c>
      <c r="B180" s="9" t="inlineStr">
        <is>
          <t>فروشگاه شهر کتاب مرکزی</t>
        </is>
      </c>
      <c r="C180" s="9" t="inlineStr">
        <is>
          <t>پایان ماه</t>
        </is>
      </c>
      <c r="D180" s="9" t="inlineStr">
        <is>
          <t>بستن حساب‌های ماه بهمن و کنترل مانده‌ها</t>
        </is>
      </c>
      <c r="E180" s="9" t="inlineStr">
        <is>
          <t>ماهانه</t>
        </is>
      </c>
      <c r="F180" s="9" t="inlineStr">
        <is>
          <t>بهمن</t>
        </is>
      </c>
      <c r="G180" s="10" t="n">
        <v>46447</v>
      </c>
      <c r="H180" s="9" t="inlineStr">
        <is>
          <t>1405/12/10</t>
        </is>
      </c>
      <c r="I180" s="9" t="n">
        <v>7</v>
      </c>
      <c r="J180" s="10">
        <f>IF(G180="","",G180-I180)</f>
        <v/>
      </c>
      <c r="K180" s="9" t="inlineStr">
        <is>
          <t>بالا</t>
        </is>
      </c>
      <c r="L180" s="9" t="inlineStr">
        <is>
          <t>باز</t>
        </is>
      </c>
      <c r="M180" s="9">
        <f>IF(D180="","",IF(L180="انجام شده","انجام شده",IF(L180="لغو شده","لغو شده",IF(G180&lt;TODAY(),"عقب‌افتاده",IF(G180=TODAY(),"امروز",IF(G180&lt;=TODAY()+7,"تا ۷ روز",IF(G180&lt;=TODAY()+15,"تا ۱۵ روز","آینده")))))))</f>
        <v/>
      </c>
      <c r="N180" s="9" t="inlineStr"/>
      <c r="O180" s="9" t="n">
        <v>0</v>
      </c>
      <c r="P180" s="10" t="n"/>
      <c r="Q180" s="9" t="inlineStr"/>
      <c r="R180" s="9" t="inlineStr">
        <is>
          <t>پیش‌فرض 1405</t>
        </is>
      </c>
      <c r="S180" s="9" t="inlineStr">
        <is>
          <t>T103</t>
        </is>
      </c>
      <c r="T180" s="9" t="inlineStr">
        <is>
          <t>بله</t>
        </is>
      </c>
    </row>
    <row r="181">
      <c r="A181" s="9" t="inlineStr">
        <is>
          <t>1405-0180</t>
        </is>
      </c>
      <c r="B181" s="9" t="inlineStr">
        <is>
          <t>فروشگاه شهر کتاب مرکزی</t>
        </is>
      </c>
      <c r="C181" s="9" t="inlineStr">
        <is>
          <t>گزارش</t>
        </is>
      </c>
      <c r="D181" s="9" t="inlineStr">
        <is>
          <t>تهیه گزارش مدیریت ماه بهمن</t>
        </is>
      </c>
      <c r="E181" s="9" t="inlineStr">
        <is>
          <t>ماهانه</t>
        </is>
      </c>
      <c r="F181" s="9" t="inlineStr">
        <is>
          <t>بهمن</t>
        </is>
      </c>
      <c r="G181" s="10" t="n">
        <v>46447</v>
      </c>
      <c r="H181" s="9" t="inlineStr">
        <is>
          <t>1405/12/10</t>
        </is>
      </c>
      <c r="I181" s="9" t="n">
        <v>5</v>
      </c>
      <c r="J181" s="10">
        <f>IF(G181="","",G181-I181)</f>
        <v/>
      </c>
      <c r="K181" s="9" t="inlineStr">
        <is>
          <t>متوسط</t>
        </is>
      </c>
      <c r="L181" s="9" t="inlineStr">
        <is>
          <t>باز</t>
        </is>
      </c>
      <c r="M181" s="9">
        <f>IF(D181="","",IF(L181="انجام شده","انجام شده",IF(L181="لغو شده","لغو شده",IF(G181&lt;TODAY(),"عقب‌افتاده",IF(G181=TODAY(),"امروز",IF(G181&lt;=TODAY()+7,"تا ۷ روز",IF(G181&lt;=TODAY()+15,"تا ۱۵ روز","آینده")))))))</f>
        <v/>
      </c>
      <c r="N181" s="9" t="inlineStr"/>
      <c r="O181" s="9" t="n">
        <v>0</v>
      </c>
      <c r="P181" s="10" t="n"/>
      <c r="Q181" s="9" t="inlineStr"/>
      <c r="R181" s="9" t="inlineStr">
        <is>
          <t>پیش‌فرض 1405</t>
        </is>
      </c>
      <c r="S181" s="9" t="inlineStr">
        <is>
          <t>T104</t>
        </is>
      </c>
      <c r="T181" s="9" t="inlineStr">
        <is>
          <t>بله</t>
        </is>
      </c>
    </row>
    <row r="182">
      <c r="A182" s="9" t="inlineStr">
        <is>
          <t>1405-0181</t>
        </is>
      </c>
      <c r="B182" s="9" t="inlineStr">
        <is>
          <t>فروشگاه شهر کتاب مرکزی</t>
        </is>
      </c>
      <c r="C182" s="9" t="inlineStr">
        <is>
          <t>حقوق و دستمزد</t>
        </is>
      </c>
      <c r="D182" s="9" t="inlineStr">
        <is>
          <t>محاسبه حقوق و دستمزد ماه بهمن</t>
        </is>
      </c>
      <c r="E182" s="9" t="inlineStr">
        <is>
          <t>ماهانه</t>
        </is>
      </c>
      <c r="F182" s="9" t="inlineStr">
        <is>
          <t>بهمن</t>
        </is>
      </c>
      <c r="G182" s="10" t="n">
        <v>46435</v>
      </c>
      <c r="H182" s="9" t="inlineStr">
        <is>
          <t>1405/11/28</t>
        </is>
      </c>
      <c r="I182" s="9" t="n">
        <v>5</v>
      </c>
      <c r="J182" s="10">
        <f>IF(G182="","",G182-I182)</f>
        <v/>
      </c>
      <c r="K182" s="9" t="inlineStr">
        <is>
          <t>بالا</t>
        </is>
      </c>
      <c r="L182" s="9" t="inlineStr">
        <is>
          <t>باز</t>
        </is>
      </c>
      <c r="M182" s="9">
        <f>IF(D182="","",IF(L182="انجام شده","انجام شده",IF(L182="لغو شده","لغو شده",IF(G182&lt;TODAY(),"عقب‌افتاده",IF(G182=TODAY(),"امروز",IF(G182&lt;=TODAY()+7,"تا ۷ روز",IF(G182&lt;=TODAY()+15,"تا ۱۵ روز","آینده")))))))</f>
        <v/>
      </c>
      <c r="N182" s="9" t="inlineStr"/>
      <c r="O182" s="9" t="n">
        <v>0</v>
      </c>
      <c r="P182" s="10" t="n"/>
      <c r="Q182" s="9" t="inlineStr"/>
      <c r="R182" s="9" t="inlineStr">
        <is>
          <t>پیش‌فرض 1405</t>
        </is>
      </c>
      <c r="S182" s="9" t="inlineStr">
        <is>
          <t>T105</t>
        </is>
      </c>
      <c r="T182" s="9" t="inlineStr">
        <is>
          <t>بله</t>
        </is>
      </c>
    </row>
    <row r="183">
      <c r="A183" s="9" t="inlineStr">
        <is>
          <t>1405-0182</t>
        </is>
      </c>
      <c r="B183" s="9" t="inlineStr">
        <is>
          <t>فروشگاه شهر کتاب مرکزی</t>
        </is>
      </c>
      <c r="C183" s="9" t="inlineStr">
        <is>
          <t>حقوق و دستمزد</t>
        </is>
      </c>
      <c r="D183" s="9" t="inlineStr">
        <is>
          <t>ارسال/پرداخت لیست بیمه ماه بهمن</t>
        </is>
      </c>
      <c r="E183" s="9" t="inlineStr">
        <is>
          <t>ماهانه</t>
        </is>
      </c>
      <c r="F183" s="9" t="inlineStr">
        <is>
          <t>بهمن</t>
        </is>
      </c>
      <c r="G183" s="10" t="n">
        <v>46466</v>
      </c>
      <c r="H183" s="9" t="inlineStr">
        <is>
          <t>1405/12/29</t>
        </is>
      </c>
      <c r="I183" s="9" t="n">
        <v>7</v>
      </c>
      <c r="J183" s="10">
        <f>IF(G183="","",G183-I183)</f>
        <v/>
      </c>
      <c r="K183" s="9" t="inlineStr">
        <is>
          <t>خیلی بالا</t>
        </is>
      </c>
      <c r="L183" s="9" t="inlineStr">
        <is>
          <t>باز</t>
        </is>
      </c>
      <c r="M183" s="9">
        <f>IF(D183="","",IF(L183="انجام شده","انجام شده",IF(L183="لغو شده","لغو شده",IF(G183&lt;TODAY(),"عقب‌افتاده",IF(G183=TODAY(),"امروز",IF(G183&lt;=TODAY()+7,"تا ۷ روز",IF(G183&lt;=TODAY()+15,"تا ۱۵ روز","آینده")))))))</f>
        <v/>
      </c>
      <c r="N183" s="9" t="inlineStr"/>
      <c r="O183" s="9" t="n">
        <v>0</v>
      </c>
      <c r="P183" s="10" t="n"/>
      <c r="Q183" s="9" t="inlineStr"/>
      <c r="R183" s="9" t="inlineStr">
        <is>
          <t>پیش‌فرض 1405</t>
        </is>
      </c>
      <c r="S183" s="9" t="inlineStr">
        <is>
          <t>T106</t>
        </is>
      </c>
      <c r="T183" s="9" t="inlineStr">
        <is>
          <t>بله</t>
        </is>
      </c>
    </row>
    <row r="184">
      <c r="A184" s="9" t="inlineStr">
        <is>
          <t>1405-0183</t>
        </is>
      </c>
      <c r="B184" s="9" t="inlineStr">
        <is>
          <t>فروشگاه شهر کتاب مرکزی</t>
        </is>
      </c>
      <c r="C184" s="9" t="inlineStr">
        <is>
          <t>حقوق و دستمزد</t>
        </is>
      </c>
      <c r="D184" s="9" t="inlineStr">
        <is>
          <t>ارسال/پرداخت مالیات حقوق ماه بهمن</t>
        </is>
      </c>
      <c r="E184" s="9" t="inlineStr">
        <is>
          <t>ماهانه</t>
        </is>
      </c>
      <c r="F184" s="9" t="inlineStr">
        <is>
          <t>بهمن</t>
        </is>
      </c>
      <c r="G184" s="10" t="n">
        <v>46466</v>
      </c>
      <c r="H184" s="9" t="inlineStr">
        <is>
          <t>1405/12/29</t>
        </is>
      </c>
      <c r="I184" s="9" t="n">
        <v>7</v>
      </c>
      <c r="J184" s="10">
        <f>IF(G184="","",G184-I184)</f>
        <v/>
      </c>
      <c r="K184" s="9" t="inlineStr">
        <is>
          <t>خیلی بالا</t>
        </is>
      </c>
      <c r="L184" s="9" t="inlineStr">
        <is>
          <t>باز</t>
        </is>
      </c>
      <c r="M184" s="9">
        <f>IF(D184="","",IF(L184="انجام شده","انجام شده",IF(L184="لغو شده","لغو شده",IF(G184&lt;TODAY(),"عقب‌افتاده",IF(G184=TODAY(),"امروز",IF(G184&lt;=TODAY()+7,"تا ۷ روز",IF(G184&lt;=TODAY()+15,"تا ۱۵ روز","آینده")))))))</f>
        <v/>
      </c>
      <c r="N184" s="9" t="inlineStr"/>
      <c r="O184" s="9" t="n">
        <v>0</v>
      </c>
      <c r="P184" s="10" t="n"/>
      <c r="Q184" s="9" t="inlineStr"/>
      <c r="R184" s="9" t="inlineStr">
        <is>
          <t>پیش‌فرض 1405</t>
        </is>
      </c>
      <c r="S184" s="9" t="inlineStr">
        <is>
          <t>T107</t>
        </is>
      </c>
      <c r="T184" s="9" t="inlineStr">
        <is>
          <t>بله</t>
        </is>
      </c>
    </row>
    <row r="185">
      <c r="A185" s="9" t="inlineStr">
        <is>
          <t>1405-0184</t>
        </is>
      </c>
      <c r="B185" s="9" t="inlineStr">
        <is>
          <t>فروشگاه شهر کتاب مرکزی</t>
        </is>
      </c>
      <c r="C185" s="9" t="inlineStr">
        <is>
          <t>بایگانی</t>
        </is>
      </c>
      <c r="D185" s="9" t="inlineStr">
        <is>
          <t>بایگانی مدارک و اسناد ماه بهمن</t>
        </is>
      </c>
      <c r="E185" s="9" t="inlineStr">
        <is>
          <t>ماهانه</t>
        </is>
      </c>
      <c r="F185" s="9" t="inlineStr">
        <is>
          <t>بهمن</t>
        </is>
      </c>
      <c r="G185" s="10" t="n">
        <v>46452</v>
      </c>
      <c r="H185" s="9" t="inlineStr">
        <is>
          <t>1405/12/15</t>
        </is>
      </c>
      <c r="I185" s="9" t="n">
        <v>3</v>
      </c>
      <c r="J185" s="10">
        <f>IF(G185="","",G185-I185)</f>
        <v/>
      </c>
      <c r="K185" s="9" t="inlineStr">
        <is>
          <t>متوسط</t>
        </is>
      </c>
      <c r="L185" s="9" t="inlineStr">
        <is>
          <t>باز</t>
        </is>
      </c>
      <c r="M185" s="9">
        <f>IF(D185="","",IF(L185="انجام شده","انجام شده",IF(L185="لغو شده","لغو شده",IF(G185&lt;TODAY(),"عقب‌افتاده",IF(G185=TODAY(),"امروز",IF(G185&lt;=TODAY()+7,"تا ۷ روز",IF(G185&lt;=TODAY()+15,"تا ۱۵ روز","آینده")))))))</f>
        <v/>
      </c>
      <c r="N185" s="9" t="inlineStr"/>
      <c r="O185" s="9" t="n">
        <v>0</v>
      </c>
      <c r="P185" s="10" t="n"/>
      <c r="Q185" s="9" t="inlineStr"/>
      <c r="R185" s="9" t="inlineStr">
        <is>
          <t>پیش‌فرض 1405</t>
        </is>
      </c>
      <c r="S185" s="9" t="inlineStr">
        <is>
          <t>T108</t>
        </is>
      </c>
      <c r="T185" s="9" t="inlineStr">
        <is>
          <t>بله</t>
        </is>
      </c>
    </row>
    <row r="186">
      <c r="A186" s="9" t="inlineStr">
        <is>
          <t>1405-0185</t>
        </is>
      </c>
      <c r="B186" s="9" t="inlineStr">
        <is>
          <t>فروشگاه شهر کتاب مرکزی</t>
        </is>
      </c>
      <c r="C186" s="9" t="inlineStr">
        <is>
          <t>پایان ماه</t>
        </is>
      </c>
      <c r="D186" s="9" t="inlineStr">
        <is>
          <t>مغایرت‌گیری بانکی ماه اسفند</t>
        </is>
      </c>
      <c r="E186" s="9" t="inlineStr">
        <is>
          <t>ماهانه</t>
        </is>
      </c>
      <c r="F186" s="9" t="inlineStr">
        <is>
          <t>اسفند</t>
        </is>
      </c>
      <c r="G186" s="10" t="n">
        <v>46471</v>
      </c>
      <c r="H186" s="9" t="inlineStr">
        <is>
          <t>1406/01/05</t>
        </is>
      </c>
      <c r="I186" s="9" t="n">
        <v>5</v>
      </c>
      <c r="J186" s="10">
        <f>IF(G186="","",G186-I186)</f>
        <v/>
      </c>
      <c r="K186" s="9" t="inlineStr">
        <is>
          <t>بالا</t>
        </is>
      </c>
      <c r="L186" s="9" t="inlineStr">
        <is>
          <t>باز</t>
        </is>
      </c>
      <c r="M186" s="9">
        <f>IF(D186="","",IF(L186="انجام شده","انجام شده",IF(L186="لغو شده","لغو شده",IF(G186&lt;TODAY(),"عقب‌افتاده",IF(G186=TODAY(),"امروز",IF(G186&lt;=TODAY()+7,"تا ۷ روز",IF(G186&lt;=TODAY()+15,"تا ۱۵ روز","آینده")))))))</f>
        <v/>
      </c>
      <c r="N186" s="9" t="inlineStr"/>
      <c r="O186" s="9" t="n">
        <v>0</v>
      </c>
      <c r="P186" s="10" t="n"/>
      <c r="Q186" s="9" t="inlineStr"/>
      <c r="R186" s="9" t="inlineStr">
        <is>
          <t>پیش‌فرض 1405</t>
        </is>
      </c>
      <c r="S186" s="9" t="inlineStr">
        <is>
          <t>T101</t>
        </is>
      </c>
      <c r="T186" s="9" t="inlineStr">
        <is>
          <t>بله</t>
        </is>
      </c>
    </row>
    <row r="187">
      <c r="A187" s="9" t="inlineStr">
        <is>
          <t>1405-0186</t>
        </is>
      </c>
      <c r="B187" s="9" t="inlineStr">
        <is>
          <t>فروشگاه شهر کتاب مرکزی</t>
        </is>
      </c>
      <c r="C187" s="9" t="inlineStr">
        <is>
          <t>پایان ماه</t>
        </is>
      </c>
      <c r="D187" s="9" t="inlineStr">
        <is>
          <t>کنترل نهایی اسناد ماه اسفند</t>
        </is>
      </c>
      <c r="E187" s="9" t="inlineStr">
        <is>
          <t>ماهانه</t>
        </is>
      </c>
      <c r="F187" s="9" t="inlineStr">
        <is>
          <t>اسفند</t>
        </is>
      </c>
      <c r="G187" s="10" t="n">
        <v>46473</v>
      </c>
      <c r="H187" s="9" t="inlineStr">
        <is>
          <t>1406/01/07</t>
        </is>
      </c>
      <c r="I187" s="9" t="n">
        <v>5</v>
      </c>
      <c r="J187" s="10">
        <f>IF(G187="","",G187-I187)</f>
        <v/>
      </c>
      <c r="K187" s="9" t="inlineStr">
        <is>
          <t>بالا</t>
        </is>
      </c>
      <c r="L187" s="9" t="inlineStr">
        <is>
          <t>باز</t>
        </is>
      </c>
      <c r="M187" s="9">
        <f>IF(D187="","",IF(L187="انجام شده","انجام شده",IF(L187="لغو شده","لغو شده",IF(G187&lt;TODAY(),"عقب‌افتاده",IF(G187=TODAY(),"امروز",IF(G187&lt;=TODAY()+7,"تا ۷ روز",IF(G187&lt;=TODAY()+15,"تا ۱۵ روز","آینده")))))))</f>
        <v/>
      </c>
      <c r="N187" s="9" t="inlineStr"/>
      <c r="O187" s="9" t="n">
        <v>0</v>
      </c>
      <c r="P187" s="10" t="n"/>
      <c r="Q187" s="9" t="inlineStr"/>
      <c r="R187" s="9" t="inlineStr">
        <is>
          <t>پیش‌فرض 1405</t>
        </is>
      </c>
      <c r="S187" s="9" t="inlineStr">
        <is>
          <t>T102</t>
        </is>
      </c>
      <c r="T187" s="9" t="inlineStr">
        <is>
          <t>بله</t>
        </is>
      </c>
    </row>
    <row r="188">
      <c r="A188" s="9" t="inlineStr">
        <is>
          <t>1405-0187</t>
        </is>
      </c>
      <c r="B188" s="9" t="inlineStr">
        <is>
          <t>فروشگاه شهر کتاب مرکزی</t>
        </is>
      </c>
      <c r="C188" s="9" t="inlineStr">
        <is>
          <t>پایان ماه</t>
        </is>
      </c>
      <c r="D188" s="9" t="inlineStr">
        <is>
          <t>بستن حساب‌های ماه اسفند و کنترل مانده‌ها</t>
        </is>
      </c>
      <c r="E188" s="9" t="inlineStr">
        <is>
          <t>ماهانه</t>
        </is>
      </c>
      <c r="F188" s="9" t="inlineStr">
        <is>
          <t>اسفند</t>
        </is>
      </c>
      <c r="G188" s="10" t="n">
        <v>46476</v>
      </c>
      <c r="H188" s="9" t="inlineStr">
        <is>
          <t>1406/01/10</t>
        </is>
      </c>
      <c r="I188" s="9" t="n">
        <v>7</v>
      </c>
      <c r="J188" s="10">
        <f>IF(G188="","",G188-I188)</f>
        <v/>
      </c>
      <c r="K188" s="9" t="inlineStr">
        <is>
          <t>بالا</t>
        </is>
      </c>
      <c r="L188" s="9" t="inlineStr">
        <is>
          <t>باز</t>
        </is>
      </c>
      <c r="M188" s="9">
        <f>IF(D188="","",IF(L188="انجام شده","انجام شده",IF(L188="لغو شده","لغو شده",IF(G188&lt;TODAY(),"عقب‌افتاده",IF(G188=TODAY(),"امروز",IF(G188&lt;=TODAY()+7,"تا ۷ روز",IF(G188&lt;=TODAY()+15,"تا ۱۵ روز","آینده")))))))</f>
        <v/>
      </c>
      <c r="N188" s="9" t="inlineStr"/>
      <c r="O188" s="9" t="n">
        <v>0</v>
      </c>
      <c r="P188" s="10" t="n"/>
      <c r="Q188" s="9" t="inlineStr"/>
      <c r="R188" s="9" t="inlineStr">
        <is>
          <t>پیش‌فرض 1405</t>
        </is>
      </c>
      <c r="S188" s="9" t="inlineStr">
        <is>
          <t>T103</t>
        </is>
      </c>
      <c r="T188" s="9" t="inlineStr">
        <is>
          <t>بله</t>
        </is>
      </c>
    </row>
    <row r="189">
      <c r="A189" s="9" t="inlineStr">
        <is>
          <t>1405-0188</t>
        </is>
      </c>
      <c r="B189" s="9" t="inlineStr">
        <is>
          <t>فروشگاه شهر کتاب مرکزی</t>
        </is>
      </c>
      <c r="C189" s="9" t="inlineStr">
        <is>
          <t>گزارش</t>
        </is>
      </c>
      <c r="D189" s="9" t="inlineStr">
        <is>
          <t>تهیه گزارش مدیریت ماه اسفند</t>
        </is>
      </c>
      <c r="E189" s="9" t="inlineStr">
        <is>
          <t>ماهانه</t>
        </is>
      </c>
      <c r="F189" s="9" t="inlineStr">
        <is>
          <t>اسفند</t>
        </is>
      </c>
      <c r="G189" s="10" t="n">
        <v>46476</v>
      </c>
      <c r="H189" s="9" t="inlineStr">
        <is>
          <t>1406/01/10</t>
        </is>
      </c>
      <c r="I189" s="9" t="n">
        <v>5</v>
      </c>
      <c r="J189" s="10">
        <f>IF(G189="","",G189-I189)</f>
        <v/>
      </c>
      <c r="K189" s="9" t="inlineStr">
        <is>
          <t>متوسط</t>
        </is>
      </c>
      <c r="L189" s="9" t="inlineStr">
        <is>
          <t>باز</t>
        </is>
      </c>
      <c r="M189" s="9">
        <f>IF(D189="","",IF(L189="انجام شده","انجام شده",IF(L189="لغو شده","لغو شده",IF(G189&lt;TODAY(),"عقب‌افتاده",IF(G189=TODAY(),"امروز",IF(G189&lt;=TODAY()+7,"تا ۷ روز",IF(G189&lt;=TODAY()+15,"تا ۱۵ روز","آینده")))))))</f>
        <v/>
      </c>
      <c r="N189" s="9" t="inlineStr"/>
      <c r="O189" s="9" t="n">
        <v>0</v>
      </c>
      <c r="P189" s="10" t="n"/>
      <c r="Q189" s="9" t="inlineStr"/>
      <c r="R189" s="9" t="inlineStr">
        <is>
          <t>پیش‌فرض 1405</t>
        </is>
      </c>
      <c r="S189" s="9" t="inlineStr">
        <is>
          <t>T104</t>
        </is>
      </c>
      <c r="T189" s="9" t="inlineStr">
        <is>
          <t>بله</t>
        </is>
      </c>
    </row>
    <row r="190">
      <c r="A190" s="9" t="inlineStr">
        <is>
          <t>1405-0189</t>
        </is>
      </c>
      <c r="B190" s="9" t="inlineStr">
        <is>
          <t>فروشگاه شهر کتاب مرکزی</t>
        </is>
      </c>
      <c r="C190" s="9" t="inlineStr">
        <is>
          <t>حقوق و دستمزد</t>
        </is>
      </c>
      <c r="D190" s="9" t="inlineStr">
        <is>
          <t>محاسبه حقوق و دستمزد ماه اسفند</t>
        </is>
      </c>
      <c r="E190" s="9" t="inlineStr">
        <is>
          <t>ماهانه</t>
        </is>
      </c>
      <c r="F190" s="9" t="inlineStr">
        <is>
          <t>اسفند</t>
        </is>
      </c>
      <c r="G190" s="10" t="n">
        <v>46465</v>
      </c>
      <c r="H190" s="9" t="inlineStr">
        <is>
          <t>1405/12/28</t>
        </is>
      </c>
      <c r="I190" s="9" t="n">
        <v>5</v>
      </c>
      <c r="J190" s="10">
        <f>IF(G190="","",G190-I190)</f>
        <v/>
      </c>
      <c r="K190" s="9" t="inlineStr">
        <is>
          <t>بالا</t>
        </is>
      </c>
      <c r="L190" s="9" t="inlineStr">
        <is>
          <t>باز</t>
        </is>
      </c>
      <c r="M190" s="9">
        <f>IF(D190="","",IF(L190="انجام شده","انجام شده",IF(L190="لغو شده","لغو شده",IF(G190&lt;TODAY(),"عقب‌افتاده",IF(G190=TODAY(),"امروز",IF(G190&lt;=TODAY()+7,"تا ۷ روز",IF(G190&lt;=TODAY()+15,"تا ۱۵ روز","آینده")))))))</f>
        <v/>
      </c>
      <c r="N190" s="9" t="inlineStr"/>
      <c r="O190" s="9" t="n">
        <v>0</v>
      </c>
      <c r="P190" s="10" t="n"/>
      <c r="Q190" s="9" t="inlineStr"/>
      <c r="R190" s="9" t="inlineStr">
        <is>
          <t>پیش‌فرض 1405</t>
        </is>
      </c>
      <c r="S190" s="9" t="inlineStr">
        <is>
          <t>T105</t>
        </is>
      </c>
      <c r="T190" s="9" t="inlineStr">
        <is>
          <t>بله</t>
        </is>
      </c>
    </row>
    <row r="191">
      <c r="A191" s="9" t="inlineStr">
        <is>
          <t>1405-0190</t>
        </is>
      </c>
      <c r="B191" s="9" t="inlineStr">
        <is>
          <t>فروشگاه شهر کتاب مرکزی</t>
        </is>
      </c>
      <c r="C191" s="9" t="inlineStr">
        <is>
          <t>حقوق و دستمزد</t>
        </is>
      </c>
      <c r="D191" s="9" t="inlineStr">
        <is>
          <t>ارسال/پرداخت لیست بیمه ماه اسفند</t>
        </is>
      </c>
      <c r="E191" s="9" t="inlineStr">
        <is>
          <t>ماهانه</t>
        </is>
      </c>
      <c r="F191" s="9" t="inlineStr">
        <is>
          <t>اسفند</t>
        </is>
      </c>
      <c r="G191" s="10" t="n">
        <v>46497</v>
      </c>
      <c r="H191" s="9" t="inlineStr">
        <is>
          <t>1406/01/31</t>
        </is>
      </c>
      <c r="I191" s="9" t="n">
        <v>7</v>
      </c>
      <c r="J191" s="10">
        <f>IF(G191="","",G191-I191)</f>
        <v/>
      </c>
      <c r="K191" s="9" t="inlineStr">
        <is>
          <t>خیلی بالا</t>
        </is>
      </c>
      <c r="L191" s="9" t="inlineStr">
        <is>
          <t>باز</t>
        </is>
      </c>
      <c r="M191" s="9">
        <f>IF(D191="","",IF(L191="انجام شده","انجام شده",IF(L191="لغو شده","لغو شده",IF(G191&lt;TODAY(),"عقب‌افتاده",IF(G191=TODAY(),"امروز",IF(G191&lt;=TODAY()+7,"تا ۷ روز",IF(G191&lt;=TODAY()+15,"تا ۱۵ روز","آینده")))))))</f>
        <v/>
      </c>
      <c r="N191" s="9" t="inlineStr"/>
      <c r="O191" s="9" t="n">
        <v>0</v>
      </c>
      <c r="P191" s="10" t="n"/>
      <c r="Q191" s="9" t="inlineStr"/>
      <c r="R191" s="9" t="inlineStr">
        <is>
          <t>پیش‌فرض 1405</t>
        </is>
      </c>
      <c r="S191" s="9" t="inlineStr">
        <is>
          <t>T106</t>
        </is>
      </c>
      <c r="T191" s="9" t="inlineStr">
        <is>
          <t>بله</t>
        </is>
      </c>
    </row>
    <row r="192">
      <c r="A192" s="9" t="inlineStr">
        <is>
          <t>1405-0191</t>
        </is>
      </c>
      <c r="B192" s="9" t="inlineStr">
        <is>
          <t>فروشگاه شهر کتاب مرکزی</t>
        </is>
      </c>
      <c r="C192" s="9" t="inlineStr">
        <is>
          <t>حقوق و دستمزد</t>
        </is>
      </c>
      <c r="D192" s="9" t="inlineStr">
        <is>
          <t>ارسال/پرداخت مالیات حقوق ماه اسفند</t>
        </is>
      </c>
      <c r="E192" s="9" t="inlineStr">
        <is>
          <t>ماهانه</t>
        </is>
      </c>
      <c r="F192" s="9" t="inlineStr">
        <is>
          <t>اسفند</t>
        </is>
      </c>
      <c r="G192" s="10" t="n">
        <v>46497</v>
      </c>
      <c r="H192" s="9" t="inlineStr">
        <is>
          <t>1406/01/31</t>
        </is>
      </c>
      <c r="I192" s="9" t="n">
        <v>7</v>
      </c>
      <c r="J192" s="10">
        <f>IF(G192="","",G192-I192)</f>
        <v/>
      </c>
      <c r="K192" s="9" t="inlineStr">
        <is>
          <t>خیلی بالا</t>
        </is>
      </c>
      <c r="L192" s="9" t="inlineStr">
        <is>
          <t>باز</t>
        </is>
      </c>
      <c r="M192" s="9">
        <f>IF(D192="","",IF(L192="انجام شده","انجام شده",IF(L192="لغو شده","لغو شده",IF(G192&lt;TODAY(),"عقب‌افتاده",IF(G192=TODAY(),"امروز",IF(G192&lt;=TODAY()+7,"تا ۷ روز",IF(G192&lt;=TODAY()+15,"تا ۱۵ روز","آینده")))))))</f>
        <v/>
      </c>
      <c r="N192" s="9" t="inlineStr"/>
      <c r="O192" s="9" t="n">
        <v>0</v>
      </c>
      <c r="P192" s="10" t="n"/>
      <c r="Q192" s="9" t="inlineStr"/>
      <c r="R192" s="9" t="inlineStr">
        <is>
          <t>پیش‌فرض 1405</t>
        </is>
      </c>
      <c r="S192" s="9" t="inlineStr">
        <is>
          <t>T107</t>
        </is>
      </c>
      <c r="T192" s="9" t="inlineStr">
        <is>
          <t>بله</t>
        </is>
      </c>
    </row>
    <row r="193">
      <c r="A193" s="9" t="inlineStr">
        <is>
          <t>1405-0192</t>
        </is>
      </c>
      <c r="B193" s="9" t="inlineStr">
        <is>
          <t>فروشگاه شهر کتاب مرکزی</t>
        </is>
      </c>
      <c r="C193" s="9" t="inlineStr">
        <is>
          <t>بایگانی</t>
        </is>
      </c>
      <c r="D193" s="9" t="inlineStr">
        <is>
          <t>بایگانی مدارک و اسناد ماه اسفند</t>
        </is>
      </c>
      <c r="E193" s="9" t="inlineStr">
        <is>
          <t>ماهانه</t>
        </is>
      </c>
      <c r="F193" s="9" t="inlineStr">
        <is>
          <t>اسفند</t>
        </is>
      </c>
      <c r="G193" s="10" t="n">
        <v>46481</v>
      </c>
      <c r="H193" s="9" t="inlineStr">
        <is>
          <t>1406/01/15</t>
        </is>
      </c>
      <c r="I193" s="9" t="n">
        <v>3</v>
      </c>
      <c r="J193" s="10">
        <f>IF(G193="","",G193-I193)</f>
        <v/>
      </c>
      <c r="K193" s="9" t="inlineStr">
        <is>
          <t>متوسط</t>
        </is>
      </c>
      <c r="L193" s="9" t="inlineStr">
        <is>
          <t>باز</t>
        </is>
      </c>
      <c r="M193" s="9">
        <f>IF(D193="","",IF(L193="انجام شده","انجام شده",IF(L193="لغو شده","لغو شده",IF(G193&lt;TODAY(),"عقب‌افتاده",IF(G193=TODAY(),"امروز",IF(G193&lt;=TODAY()+7,"تا ۷ روز",IF(G193&lt;=TODAY()+15,"تا ۱۵ روز","آینده")))))))</f>
        <v/>
      </c>
      <c r="N193" s="9" t="inlineStr"/>
      <c r="O193" s="9" t="n">
        <v>0</v>
      </c>
      <c r="P193" s="10" t="n"/>
      <c r="Q193" s="9" t="inlineStr"/>
      <c r="R193" s="9" t="inlineStr">
        <is>
          <t>پیش‌فرض 1405</t>
        </is>
      </c>
      <c r="S193" s="9" t="inlineStr">
        <is>
          <t>T108</t>
        </is>
      </c>
      <c r="T193" s="9" t="inlineStr">
        <is>
          <t>بله</t>
        </is>
      </c>
    </row>
    <row r="194">
      <c r="A194" s="9" t="inlineStr">
        <is>
          <t>1405-0193</t>
        </is>
      </c>
      <c r="B194" s="9" t="inlineStr">
        <is>
          <t>رستگار صنعت پارس</t>
        </is>
      </c>
      <c r="C194" s="9" t="inlineStr">
        <is>
          <t>پایان ماه</t>
        </is>
      </c>
      <c r="D194" s="9" t="inlineStr">
        <is>
          <t>مغایرت‌گیری بانکی ماه فروردین</t>
        </is>
      </c>
      <c r="E194" s="9" t="inlineStr">
        <is>
          <t>ماهانه</t>
        </is>
      </c>
      <c r="F194" s="9" t="inlineStr">
        <is>
          <t>فروردین</t>
        </is>
      </c>
      <c r="G194" s="10" t="n">
        <v>46137</v>
      </c>
      <c r="H194" s="9" t="inlineStr">
        <is>
          <t>1405/02/05</t>
        </is>
      </c>
      <c r="I194" s="9" t="n">
        <v>5</v>
      </c>
      <c r="J194" s="10">
        <f>IF(G194="","",G194-I194)</f>
        <v/>
      </c>
      <c r="K194" s="9" t="inlineStr">
        <is>
          <t>بالا</t>
        </is>
      </c>
      <c r="L194" s="9" t="inlineStr">
        <is>
          <t>باز</t>
        </is>
      </c>
      <c r="M194" s="9">
        <f>IF(D194="","",IF(L194="انجام شده","انجام شده",IF(L194="لغو شده","لغو شده",IF(G194&lt;TODAY(),"عقب‌افتاده",IF(G194=TODAY(),"امروز",IF(G194&lt;=TODAY()+7,"تا ۷ روز",IF(G194&lt;=TODAY()+15,"تا ۱۵ روز","آینده")))))))</f>
        <v/>
      </c>
      <c r="N194" s="9" t="inlineStr"/>
      <c r="O194" s="9" t="n">
        <v>0</v>
      </c>
      <c r="P194" s="10" t="n"/>
      <c r="Q194" s="9" t="inlineStr"/>
      <c r="R194" s="9" t="inlineStr">
        <is>
          <t>پیش‌فرض 1405</t>
        </is>
      </c>
      <c r="S194" s="9" t="inlineStr">
        <is>
          <t>T101</t>
        </is>
      </c>
      <c r="T194" s="9" t="inlineStr">
        <is>
          <t>بله</t>
        </is>
      </c>
    </row>
    <row r="195">
      <c r="A195" s="9" t="inlineStr">
        <is>
          <t>1405-0194</t>
        </is>
      </c>
      <c r="B195" s="9" t="inlineStr">
        <is>
          <t>رستگار صنعت پارس</t>
        </is>
      </c>
      <c r="C195" s="9" t="inlineStr">
        <is>
          <t>پایان ماه</t>
        </is>
      </c>
      <c r="D195" s="9" t="inlineStr">
        <is>
          <t>کنترل نهایی اسناد ماه فروردین</t>
        </is>
      </c>
      <c r="E195" s="9" t="inlineStr">
        <is>
          <t>ماهانه</t>
        </is>
      </c>
      <c r="F195" s="9" t="inlineStr">
        <is>
          <t>فروردین</t>
        </is>
      </c>
      <c r="G195" s="10" t="n">
        <v>46139</v>
      </c>
      <c r="H195" s="9" t="inlineStr">
        <is>
          <t>1405/02/07</t>
        </is>
      </c>
      <c r="I195" s="9" t="n">
        <v>5</v>
      </c>
      <c r="J195" s="10">
        <f>IF(G195="","",G195-I195)</f>
        <v/>
      </c>
      <c r="K195" s="9" t="inlineStr">
        <is>
          <t>بالا</t>
        </is>
      </c>
      <c r="L195" s="9" t="inlineStr">
        <is>
          <t>باز</t>
        </is>
      </c>
      <c r="M195" s="9">
        <f>IF(D195="","",IF(L195="انجام شده","انجام شده",IF(L195="لغو شده","لغو شده",IF(G195&lt;TODAY(),"عقب‌افتاده",IF(G195=TODAY(),"امروز",IF(G195&lt;=TODAY()+7,"تا ۷ روز",IF(G195&lt;=TODAY()+15,"تا ۱۵ روز","آینده")))))))</f>
        <v/>
      </c>
      <c r="N195" s="9" t="inlineStr"/>
      <c r="O195" s="9" t="n">
        <v>0</v>
      </c>
      <c r="P195" s="10" t="n"/>
      <c r="Q195" s="9" t="inlineStr"/>
      <c r="R195" s="9" t="inlineStr">
        <is>
          <t>پیش‌فرض 1405</t>
        </is>
      </c>
      <c r="S195" s="9" t="inlineStr">
        <is>
          <t>T102</t>
        </is>
      </c>
      <c r="T195" s="9" t="inlineStr">
        <is>
          <t>بله</t>
        </is>
      </c>
    </row>
    <row r="196">
      <c r="A196" s="9" t="inlineStr">
        <is>
          <t>1405-0195</t>
        </is>
      </c>
      <c r="B196" s="9" t="inlineStr">
        <is>
          <t>رستگار صنعت پارس</t>
        </is>
      </c>
      <c r="C196" s="9" t="inlineStr">
        <is>
          <t>پایان ماه</t>
        </is>
      </c>
      <c r="D196" s="9" t="inlineStr">
        <is>
          <t>بستن حساب‌های ماه فروردین و کنترل مانده‌ها</t>
        </is>
      </c>
      <c r="E196" s="9" t="inlineStr">
        <is>
          <t>ماهانه</t>
        </is>
      </c>
      <c r="F196" s="9" t="inlineStr">
        <is>
          <t>فروردین</t>
        </is>
      </c>
      <c r="G196" s="10" t="n">
        <v>46142</v>
      </c>
      <c r="H196" s="9" t="inlineStr">
        <is>
          <t>1405/02/10</t>
        </is>
      </c>
      <c r="I196" s="9" t="n">
        <v>7</v>
      </c>
      <c r="J196" s="10">
        <f>IF(G196="","",G196-I196)</f>
        <v/>
      </c>
      <c r="K196" s="9" t="inlineStr">
        <is>
          <t>بالا</t>
        </is>
      </c>
      <c r="L196" s="9" t="inlineStr">
        <is>
          <t>باز</t>
        </is>
      </c>
      <c r="M196" s="9">
        <f>IF(D196="","",IF(L196="انجام شده","انجام شده",IF(L196="لغو شده","لغو شده",IF(G196&lt;TODAY(),"عقب‌افتاده",IF(G196=TODAY(),"امروز",IF(G196&lt;=TODAY()+7,"تا ۷ روز",IF(G196&lt;=TODAY()+15,"تا ۱۵ روز","آینده")))))))</f>
        <v/>
      </c>
      <c r="N196" s="9" t="inlineStr"/>
      <c r="O196" s="9" t="n">
        <v>0</v>
      </c>
      <c r="P196" s="10" t="n"/>
      <c r="Q196" s="9" t="inlineStr"/>
      <c r="R196" s="9" t="inlineStr">
        <is>
          <t>پیش‌فرض 1405</t>
        </is>
      </c>
      <c r="S196" s="9" t="inlineStr">
        <is>
          <t>T103</t>
        </is>
      </c>
      <c r="T196" s="9" t="inlineStr">
        <is>
          <t>بله</t>
        </is>
      </c>
    </row>
    <row r="197">
      <c r="A197" s="9" t="inlineStr">
        <is>
          <t>1405-0196</t>
        </is>
      </c>
      <c r="B197" s="9" t="inlineStr">
        <is>
          <t>رستگار صنعت پارس</t>
        </is>
      </c>
      <c r="C197" s="9" t="inlineStr">
        <is>
          <t>گزارش</t>
        </is>
      </c>
      <c r="D197" s="9" t="inlineStr">
        <is>
          <t>تهیه گزارش مدیریت ماه فروردین</t>
        </is>
      </c>
      <c r="E197" s="9" t="inlineStr">
        <is>
          <t>ماهانه</t>
        </is>
      </c>
      <c r="F197" s="9" t="inlineStr">
        <is>
          <t>فروردین</t>
        </is>
      </c>
      <c r="G197" s="10" t="n">
        <v>46142</v>
      </c>
      <c r="H197" s="9" t="inlineStr">
        <is>
          <t>1405/02/10</t>
        </is>
      </c>
      <c r="I197" s="9" t="n">
        <v>5</v>
      </c>
      <c r="J197" s="10">
        <f>IF(G197="","",G197-I197)</f>
        <v/>
      </c>
      <c r="K197" s="9" t="inlineStr">
        <is>
          <t>متوسط</t>
        </is>
      </c>
      <c r="L197" s="9" t="inlineStr">
        <is>
          <t>باز</t>
        </is>
      </c>
      <c r="M197" s="9">
        <f>IF(D197="","",IF(L197="انجام شده","انجام شده",IF(L197="لغو شده","لغو شده",IF(G197&lt;TODAY(),"عقب‌افتاده",IF(G197=TODAY(),"امروز",IF(G197&lt;=TODAY()+7,"تا ۷ روز",IF(G197&lt;=TODAY()+15,"تا ۱۵ روز","آینده")))))))</f>
        <v/>
      </c>
      <c r="N197" s="9" t="inlineStr"/>
      <c r="O197" s="9" t="n">
        <v>0</v>
      </c>
      <c r="P197" s="10" t="n"/>
      <c r="Q197" s="9" t="inlineStr"/>
      <c r="R197" s="9" t="inlineStr">
        <is>
          <t>پیش‌فرض 1405</t>
        </is>
      </c>
      <c r="S197" s="9" t="inlineStr">
        <is>
          <t>T104</t>
        </is>
      </c>
      <c r="T197" s="9" t="inlineStr">
        <is>
          <t>بله</t>
        </is>
      </c>
    </row>
    <row r="198">
      <c r="A198" s="9" t="inlineStr">
        <is>
          <t>1405-0197</t>
        </is>
      </c>
      <c r="B198" s="9" t="inlineStr">
        <is>
          <t>رستگار صنعت پارس</t>
        </is>
      </c>
      <c r="C198" s="9" t="inlineStr">
        <is>
          <t>حقوق و دستمزد</t>
        </is>
      </c>
      <c r="D198" s="9" t="inlineStr">
        <is>
          <t>محاسبه حقوق و دستمزد ماه فروردین</t>
        </is>
      </c>
      <c r="E198" s="9" t="inlineStr">
        <is>
          <t>ماهانه</t>
        </is>
      </c>
      <c r="F198" s="9" t="inlineStr">
        <is>
          <t>فروردین</t>
        </is>
      </c>
      <c r="G198" s="10" t="n">
        <v>46129</v>
      </c>
      <c r="H198" s="9" t="inlineStr">
        <is>
          <t>1405/01/28</t>
        </is>
      </c>
      <c r="I198" s="9" t="n">
        <v>5</v>
      </c>
      <c r="J198" s="10">
        <f>IF(G198="","",G198-I198)</f>
        <v/>
      </c>
      <c r="K198" s="9" t="inlineStr">
        <is>
          <t>بالا</t>
        </is>
      </c>
      <c r="L198" s="9" t="inlineStr">
        <is>
          <t>باز</t>
        </is>
      </c>
      <c r="M198" s="9">
        <f>IF(D198="","",IF(L198="انجام شده","انجام شده",IF(L198="لغو شده","لغو شده",IF(G198&lt;TODAY(),"عقب‌افتاده",IF(G198=TODAY(),"امروز",IF(G198&lt;=TODAY()+7,"تا ۷ روز",IF(G198&lt;=TODAY()+15,"تا ۱۵ روز","آینده")))))))</f>
        <v/>
      </c>
      <c r="N198" s="9" t="inlineStr"/>
      <c r="O198" s="9" t="n">
        <v>0</v>
      </c>
      <c r="P198" s="10" t="n"/>
      <c r="Q198" s="9" t="inlineStr"/>
      <c r="R198" s="9" t="inlineStr">
        <is>
          <t>پیش‌فرض 1405</t>
        </is>
      </c>
      <c r="S198" s="9" t="inlineStr">
        <is>
          <t>T105</t>
        </is>
      </c>
      <c r="T198" s="9" t="inlineStr">
        <is>
          <t>بله</t>
        </is>
      </c>
    </row>
    <row r="199">
      <c r="A199" s="9" t="inlineStr">
        <is>
          <t>1405-0198</t>
        </is>
      </c>
      <c r="B199" s="9" t="inlineStr">
        <is>
          <t>رستگار صنعت پارس</t>
        </is>
      </c>
      <c r="C199" s="9" t="inlineStr">
        <is>
          <t>حقوق و دستمزد</t>
        </is>
      </c>
      <c r="D199" s="9" t="inlineStr">
        <is>
          <t>ارسال/پرداخت لیست بیمه ماه فروردین</t>
        </is>
      </c>
      <c r="E199" s="9" t="inlineStr">
        <is>
          <t>ماهانه</t>
        </is>
      </c>
      <c r="F199" s="9" t="inlineStr">
        <is>
          <t>فروردین</t>
        </is>
      </c>
      <c r="G199" s="10" t="n">
        <v>46163</v>
      </c>
      <c r="H199" s="9" t="inlineStr">
        <is>
          <t>1405/02/31</t>
        </is>
      </c>
      <c r="I199" s="9" t="n">
        <v>7</v>
      </c>
      <c r="J199" s="10">
        <f>IF(G199="","",G199-I199)</f>
        <v/>
      </c>
      <c r="K199" s="9" t="inlineStr">
        <is>
          <t>خیلی بالا</t>
        </is>
      </c>
      <c r="L199" s="9" t="inlineStr">
        <is>
          <t>باز</t>
        </is>
      </c>
      <c r="M199" s="9">
        <f>IF(D199="","",IF(L199="انجام شده","انجام شده",IF(L199="لغو شده","لغو شده",IF(G199&lt;TODAY(),"عقب‌افتاده",IF(G199=TODAY(),"امروز",IF(G199&lt;=TODAY()+7,"تا ۷ روز",IF(G199&lt;=TODAY()+15,"تا ۱۵ روز","آینده")))))))</f>
        <v/>
      </c>
      <c r="N199" s="9" t="inlineStr"/>
      <c r="O199" s="9" t="n">
        <v>0</v>
      </c>
      <c r="P199" s="10" t="n"/>
      <c r="Q199" s="9" t="inlineStr"/>
      <c r="R199" s="9" t="inlineStr">
        <is>
          <t>پیش‌فرض 1405</t>
        </is>
      </c>
      <c r="S199" s="9" t="inlineStr">
        <is>
          <t>T106</t>
        </is>
      </c>
      <c r="T199" s="9" t="inlineStr">
        <is>
          <t>بله</t>
        </is>
      </c>
    </row>
    <row r="200">
      <c r="A200" s="9" t="inlineStr">
        <is>
          <t>1405-0199</t>
        </is>
      </c>
      <c r="B200" s="9" t="inlineStr">
        <is>
          <t>رستگار صنعت پارس</t>
        </is>
      </c>
      <c r="C200" s="9" t="inlineStr">
        <is>
          <t>حقوق و دستمزد</t>
        </is>
      </c>
      <c r="D200" s="9" t="inlineStr">
        <is>
          <t>ارسال/پرداخت مالیات حقوق ماه فروردین</t>
        </is>
      </c>
      <c r="E200" s="9" t="inlineStr">
        <is>
          <t>ماهانه</t>
        </is>
      </c>
      <c r="F200" s="9" t="inlineStr">
        <is>
          <t>فروردین</t>
        </is>
      </c>
      <c r="G200" s="10" t="n">
        <v>46163</v>
      </c>
      <c r="H200" s="9" t="inlineStr">
        <is>
          <t>1405/02/31</t>
        </is>
      </c>
      <c r="I200" s="9" t="n">
        <v>7</v>
      </c>
      <c r="J200" s="10">
        <f>IF(G200="","",G200-I200)</f>
        <v/>
      </c>
      <c r="K200" s="9" t="inlineStr">
        <is>
          <t>خیلی بالا</t>
        </is>
      </c>
      <c r="L200" s="9" t="inlineStr">
        <is>
          <t>باز</t>
        </is>
      </c>
      <c r="M200" s="9">
        <f>IF(D200="","",IF(L200="انجام شده","انجام شده",IF(L200="لغو شده","لغو شده",IF(G200&lt;TODAY(),"عقب‌افتاده",IF(G200=TODAY(),"امروز",IF(G200&lt;=TODAY()+7,"تا ۷ روز",IF(G200&lt;=TODAY()+15,"تا ۱۵ روز","آینده")))))))</f>
        <v/>
      </c>
      <c r="N200" s="9" t="inlineStr"/>
      <c r="O200" s="9" t="n">
        <v>0</v>
      </c>
      <c r="P200" s="10" t="n"/>
      <c r="Q200" s="9" t="inlineStr"/>
      <c r="R200" s="9" t="inlineStr">
        <is>
          <t>پیش‌فرض 1405</t>
        </is>
      </c>
      <c r="S200" s="9" t="inlineStr">
        <is>
          <t>T107</t>
        </is>
      </c>
      <c r="T200" s="9" t="inlineStr">
        <is>
          <t>بله</t>
        </is>
      </c>
    </row>
    <row r="201">
      <c r="A201" s="9" t="inlineStr">
        <is>
          <t>1405-0200</t>
        </is>
      </c>
      <c r="B201" s="9" t="inlineStr">
        <is>
          <t>رستگار صنعت پارس</t>
        </is>
      </c>
      <c r="C201" s="9" t="inlineStr">
        <is>
          <t>بایگانی</t>
        </is>
      </c>
      <c r="D201" s="9" t="inlineStr">
        <is>
          <t>بایگانی مدارک و اسناد ماه فروردین</t>
        </is>
      </c>
      <c r="E201" s="9" t="inlineStr">
        <is>
          <t>ماهانه</t>
        </is>
      </c>
      <c r="F201" s="9" t="inlineStr">
        <is>
          <t>فروردین</t>
        </is>
      </c>
      <c r="G201" s="10" t="n">
        <v>46147</v>
      </c>
      <c r="H201" s="9" t="inlineStr">
        <is>
          <t>1405/02/15</t>
        </is>
      </c>
      <c r="I201" s="9" t="n">
        <v>3</v>
      </c>
      <c r="J201" s="10">
        <f>IF(G201="","",G201-I201)</f>
        <v/>
      </c>
      <c r="K201" s="9" t="inlineStr">
        <is>
          <t>متوسط</t>
        </is>
      </c>
      <c r="L201" s="9" t="inlineStr">
        <is>
          <t>باز</t>
        </is>
      </c>
      <c r="M201" s="9">
        <f>IF(D201="","",IF(L201="انجام شده","انجام شده",IF(L201="لغو شده","لغو شده",IF(G201&lt;TODAY(),"عقب‌افتاده",IF(G201=TODAY(),"امروز",IF(G201&lt;=TODAY()+7,"تا ۷ روز",IF(G201&lt;=TODAY()+15,"تا ۱۵ روز","آینده")))))))</f>
        <v/>
      </c>
      <c r="N201" s="9" t="inlineStr"/>
      <c r="O201" s="9" t="n">
        <v>0</v>
      </c>
      <c r="P201" s="10" t="n"/>
      <c r="Q201" s="9" t="inlineStr"/>
      <c r="R201" s="9" t="inlineStr">
        <is>
          <t>پیش‌فرض 1405</t>
        </is>
      </c>
      <c r="S201" s="9" t="inlineStr">
        <is>
          <t>T108</t>
        </is>
      </c>
      <c r="T201" s="9" t="inlineStr">
        <is>
          <t>بله</t>
        </is>
      </c>
    </row>
    <row r="202">
      <c r="A202" s="9" t="inlineStr">
        <is>
          <t>1405-0201</t>
        </is>
      </c>
      <c r="B202" s="9" t="inlineStr">
        <is>
          <t>رستگار صنعت پارس</t>
        </is>
      </c>
      <c r="C202" s="9" t="inlineStr">
        <is>
          <t>پایان ماه</t>
        </is>
      </c>
      <c r="D202" s="9" t="inlineStr">
        <is>
          <t>مغایرت‌گیری بانکی ماه اردیبهشت</t>
        </is>
      </c>
      <c r="E202" s="9" t="inlineStr">
        <is>
          <t>ماهانه</t>
        </is>
      </c>
      <c r="F202" s="9" t="inlineStr">
        <is>
          <t>اردیبهشت</t>
        </is>
      </c>
      <c r="G202" s="10" t="n">
        <v>46168</v>
      </c>
      <c r="H202" s="9" t="inlineStr">
        <is>
          <t>1405/03/05</t>
        </is>
      </c>
      <c r="I202" s="9" t="n">
        <v>5</v>
      </c>
      <c r="J202" s="10">
        <f>IF(G202="","",G202-I202)</f>
        <v/>
      </c>
      <c r="K202" s="9" t="inlineStr">
        <is>
          <t>بالا</t>
        </is>
      </c>
      <c r="L202" s="9" t="inlineStr">
        <is>
          <t>باز</t>
        </is>
      </c>
      <c r="M202" s="9">
        <f>IF(D202="","",IF(L202="انجام شده","انجام شده",IF(L202="لغو شده","لغو شده",IF(G202&lt;TODAY(),"عقب‌افتاده",IF(G202=TODAY(),"امروز",IF(G202&lt;=TODAY()+7,"تا ۷ روز",IF(G202&lt;=TODAY()+15,"تا ۱۵ روز","آینده")))))))</f>
        <v/>
      </c>
      <c r="N202" s="9" t="inlineStr"/>
      <c r="O202" s="9" t="n">
        <v>0</v>
      </c>
      <c r="P202" s="10" t="n"/>
      <c r="Q202" s="9" t="inlineStr"/>
      <c r="R202" s="9" t="inlineStr">
        <is>
          <t>پیش‌فرض 1405</t>
        </is>
      </c>
      <c r="S202" s="9" t="inlineStr">
        <is>
          <t>T101</t>
        </is>
      </c>
      <c r="T202" s="9" t="inlineStr">
        <is>
          <t>بله</t>
        </is>
      </c>
    </row>
    <row r="203">
      <c r="A203" s="9" t="inlineStr">
        <is>
          <t>1405-0202</t>
        </is>
      </c>
      <c r="B203" s="9" t="inlineStr">
        <is>
          <t>رستگار صنعت پارس</t>
        </is>
      </c>
      <c r="C203" s="9" t="inlineStr">
        <is>
          <t>پایان ماه</t>
        </is>
      </c>
      <c r="D203" s="9" t="inlineStr">
        <is>
          <t>کنترل نهایی اسناد ماه اردیبهشت</t>
        </is>
      </c>
      <c r="E203" s="9" t="inlineStr">
        <is>
          <t>ماهانه</t>
        </is>
      </c>
      <c r="F203" s="9" t="inlineStr">
        <is>
          <t>اردیبهشت</t>
        </is>
      </c>
      <c r="G203" s="10" t="n">
        <v>46170</v>
      </c>
      <c r="H203" s="9" t="inlineStr">
        <is>
          <t>1405/03/07</t>
        </is>
      </c>
      <c r="I203" s="9" t="n">
        <v>5</v>
      </c>
      <c r="J203" s="10">
        <f>IF(G203="","",G203-I203)</f>
        <v/>
      </c>
      <c r="K203" s="9" t="inlineStr">
        <is>
          <t>بالا</t>
        </is>
      </c>
      <c r="L203" s="9" t="inlineStr">
        <is>
          <t>باز</t>
        </is>
      </c>
      <c r="M203" s="9">
        <f>IF(D203="","",IF(L203="انجام شده","انجام شده",IF(L203="لغو شده","لغو شده",IF(G203&lt;TODAY(),"عقب‌افتاده",IF(G203=TODAY(),"امروز",IF(G203&lt;=TODAY()+7,"تا ۷ روز",IF(G203&lt;=TODAY()+15,"تا ۱۵ روز","آینده")))))))</f>
        <v/>
      </c>
      <c r="N203" s="9" t="inlineStr"/>
      <c r="O203" s="9" t="n">
        <v>0</v>
      </c>
      <c r="P203" s="10" t="n"/>
      <c r="Q203" s="9" t="inlineStr"/>
      <c r="R203" s="9" t="inlineStr">
        <is>
          <t>پیش‌فرض 1405</t>
        </is>
      </c>
      <c r="S203" s="9" t="inlineStr">
        <is>
          <t>T102</t>
        </is>
      </c>
      <c r="T203" s="9" t="inlineStr">
        <is>
          <t>بله</t>
        </is>
      </c>
    </row>
    <row r="204">
      <c r="A204" s="9" t="inlineStr">
        <is>
          <t>1405-0203</t>
        </is>
      </c>
      <c r="B204" s="9" t="inlineStr">
        <is>
          <t>رستگار صنعت پارس</t>
        </is>
      </c>
      <c r="C204" s="9" t="inlineStr">
        <is>
          <t>پایان ماه</t>
        </is>
      </c>
      <c r="D204" s="9" t="inlineStr">
        <is>
          <t>بستن حساب‌های ماه اردیبهشت و کنترل مانده‌ها</t>
        </is>
      </c>
      <c r="E204" s="9" t="inlineStr">
        <is>
          <t>ماهانه</t>
        </is>
      </c>
      <c r="F204" s="9" t="inlineStr">
        <is>
          <t>اردیبهشت</t>
        </is>
      </c>
      <c r="G204" s="10" t="n">
        <v>46173</v>
      </c>
      <c r="H204" s="9" t="inlineStr">
        <is>
          <t>1405/03/10</t>
        </is>
      </c>
      <c r="I204" s="9" t="n">
        <v>7</v>
      </c>
      <c r="J204" s="10">
        <f>IF(G204="","",G204-I204)</f>
        <v/>
      </c>
      <c r="K204" s="9" t="inlineStr">
        <is>
          <t>بالا</t>
        </is>
      </c>
      <c r="L204" s="9" t="inlineStr">
        <is>
          <t>باز</t>
        </is>
      </c>
      <c r="M204" s="9">
        <f>IF(D204="","",IF(L204="انجام شده","انجام شده",IF(L204="لغو شده","لغو شده",IF(G204&lt;TODAY(),"عقب‌افتاده",IF(G204=TODAY(),"امروز",IF(G204&lt;=TODAY()+7,"تا ۷ روز",IF(G204&lt;=TODAY()+15,"تا ۱۵ روز","آینده")))))))</f>
        <v/>
      </c>
      <c r="N204" s="9" t="inlineStr"/>
      <c r="O204" s="9" t="n">
        <v>0</v>
      </c>
      <c r="P204" s="10" t="n"/>
      <c r="Q204" s="9" t="inlineStr"/>
      <c r="R204" s="9" t="inlineStr">
        <is>
          <t>پیش‌فرض 1405</t>
        </is>
      </c>
      <c r="S204" s="9" t="inlineStr">
        <is>
          <t>T103</t>
        </is>
      </c>
      <c r="T204" s="9" t="inlineStr">
        <is>
          <t>بله</t>
        </is>
      </c>
    </row>
    <row r="205">
      <c r="A205" s="9" t="inlineStr">
        <is>
          <t>1405-0204</t>
        </is>
      </c>
      <c r="B205" s="9" t="inlineStr">
        <is>
          <t>رستگار صنعت پارس</t>
        </is>
      </c>
      <c r="C205" s="9" t="inlineStr">
        <is>
          <t>گزارش</t>
        </is>
      </c>
      <c r="D205" s="9" t="inlineStr">
        <is>
          <t>تهیه گزارش مدیریت ماه اردیبهشت</t>
        </is>
      </c>
      <c r="E205" s="9" t="inlineStr">
        <is>
          <t>ماهانه</t>
        </is>
      </c>
      <c r="F205" s="9" t="inlineStr">
        <is>
          <t>اردیبهشت</t>
        </is>
      </c>
      <c r="G205" s="10" t="n">
        <v>46173</v>
      </c>
      <c r="H205" s="9" t="inlineStr">
        <is>
          <t>1405/03/10</t>
        </is>
      </c>
      <c r="I205" s="9" t="n">
        <v>5</v>
      </c>
      <c r="J205" s="10">
        <f>IF(G205="","",G205-I205)</f>
        <v/>
      </c>
      <c r="K205" s="9" t="inlineStr">
        <is>
          <t>متوسط</t>
        </is>
      </c>
      <c r="L205" s="9" t="inlineStr">
        <is>
          <t>باز</t>
        </is>
      </c>
      <c r="M205" s="9">
        <f>IF(D205="","",IF(L205="انجام شده","انجام شده",IF(L205="لغو شده","لغو شده",IF(G205&lt;TODAY(),"عقب‌افتاده",IF(G205=TODAY(),"امروز",IF(G205&lt;=TODAY()+7,"تا ۷ روز",IF(G205&lt;=TODAY()+15,"تا ۱۵ روز","آینده")))))))</f>
        <v/>
      </c>
      <c r="N205" s="9" t="inlineStr"/>
      <c r="O205" s="9" t="n">
        <v>0</v>
      </c>
      <c r="P205" s="10" t="n"/>
      <c r="Q205" s="9" t="inlineStr"/>
      <c r="R205" s="9" t="inlineStr">
        <is>
          <t>پیش‌فرض 1405</t>
        </is>
      </c>
      <c r="S205" s="9" t="inlineStr">
        <is>
          <t>T104</t>
        </is>
      </c>
      <c r="T205" s="9" t="inlineStr">
        <is>
          <t>بله</t>
        </is>
      </c>
    </row>
    <row r="206">
      <c r="A206" s="9" t="inlineStr">
        <is>
          <t>1405-0205</t>
        </is>
      </c>
      <c r="B206" s="9" t="inlineStr">
        <is>
          <t>رستگار صنعت پارس</t>
        </is>
      </c>
      <c r="C206" s="9" t="inlineStr">
        <is>
          <t>حقوق و دستمزد</t>
        </is>
      </c>
      <c r="D206" s="9" t="inlineStr">
        <is>
          <t>محاسبه حقوق و دستمزد ماه اردیبهشت</t>
        </is>
      </c>
      <c r="E206" s="9" t="inlineStr">
        <is>
          <t>ماهانه</t>
        </is>
      </c>
      <c r="F206" s="9" t="inlineStr">
        <is>
          <t>اردیبهشت</t>
        </is>
      </c>
      <c r="G206" s="10" t="n">
        <v>46160</v>
      </c>
      <c r="H206" s="9" t="inlineStr">
        <is>
          <t>1405/02/28</t>
        </is>
      </c>
      <c r="I206" s="9" t="n">
        <v>5</v>
      </c>
      <c r="J206" s="10">
        <f>IF(G206="","",G206-I206)</f>
        <v/>
      </c>
      <c r="K206" s="9" t="inlineStr">
        <is>
          <t>بالا</t>
        </is>
      </c>
      <c r="L206" s="9" t="inlineStr">
        <is>
          <t>باز</t>
        </is>
      </c>
      <c r="M206" s="9">
        <f>IF(D206="","",IF(L206="انجام شده","انجام شده",IF(L206="لغو شده","لغو شده",IF(G206&lt;TODAY(),"عقب‌افتاده",IF(G206=TODAY(),"امروز",IF(G206&lt;=TODAY()+7,"تا ۷ روز",IF(G206&lt;=TODAY()+15,"تا ۱۵ روز","آینده")))))))</f>
        <v/>
      </c>
      <c r="N206" s="9" t="inlineStr"/>
      <c r="O206" s="9" t="n">
        <v>0</v>
      </c>
      <c r="P206" s="10" t="n"/>
      <c r="Q206" s="9" t="inlineStr"/>
      <c r="R206" s="9" t="inlineStr">
        <is>
          <t>پیش‌فرض 1405</t>
        </is>
      </c>
      <c r="S206" s="9" t="inlineStr">
        <is>
          <t>T105</t>
        </is>
      </c>
      <c r="T206" s="9" t="inlineStr">
        <is>
          <t>بله</t>
        </is>
      </c>
    </row>
    <row r="207">
      <c r="A207" s="9" t="inlineStr">
        <is>
          <t>1405-0206</t>
        </is>
      </c>
      <c r="B207" s="9" t="inlineStr">
        <is>
          <t>رستگار صنعت پارس</t>
        </is>
      </c>
      <c r="C207" s="9" t="inlineStr">
        <is>
          <t>حقوق و دستمزد</t>
        </is>
      </c>
      <c r="D207" s="9" t="inlineStr">
        <is>
          <t>ارسال/پرداخت لیست بیمه ماه اردیبهشت</t>
        </is>
      </c>
      <c r="E207" s="9" t="inlineStr">
        <is>
          <t>ماهانه</t>
        </is>
      </c>
      <c r="F207" s="9" t="inlineStr">
        <is>
          <t>اردیبهشت</t>
        </is>
      </c>
      <c r="G207" s="10" t="n">
        <v>46194</v>
      </c>
      <c r="H207" s="9" t="inlineStr">
        <is>
          <t>1405/03/31</t>
        </is>
      </c>
      <c r="I207" s="9" t="n">
        <v>7</v>
      </c>
      <c r="J207" s="10">
        <f>IF(G207="","",G207-I207)</f>
        <v/>
      </c>
      <c r="K207" s="9" t="inlineStr">
        <is>
          <t>خیلی بالا</t>
        </is>
      </c>
      <c r="L207" s="9" t="inlineStr">
        <is>
          <t>باز</t>
        </is>
      </c>
      <c r="M207" s="9">
        <f>IF(D207="","",IF(L207="انجام شده","انجام شده",IF(L207="لغو شده","لغو شده",IF(G207&lt;TODAY(),"عقب‌افتاده",IF(G207=TODAY(),"امروز",IF(G207&lt;=TODAY()+7,"تا ۷ روز",IF(G207&lt;=TODAY()+15,"تا ۱۵ روز","آینده")))))))</f>
        <v/>
      </c>
      <c r="N207" s="9" t="inlineStr"/>
      <c r="O207" s="9" t="n">
        <v>0</v>
      </c>
      <c r="P207" s="10" t="n"/>
      <c r="Q207" s="9" t="inlineStr"/>
      <c r="R207" s="9" t="inlineStr">
        <is>
          <t>پیش‌فرض 1405</t>
        </is>
      </c>
      <c r="S207" s="9" t="inlineStr">
        <is>
          <t>T106</t>
        </is>
      </c>
      <c r="T207" s="9" t="inlineStr">
        <is>
          <t>بله</t>
        </is>
      </c>
    </row>
    <row r="208">
      <c r="A208" s="9" t="inlineStr">
        <is>
          <t>1405-0207</t>
        </is>
      </c>
      <c r="B208" s="9" t="inlineStr">
        <is>
          <t>رستگار صنعت پارس</t>
        </is>
      </c>
      <c r="C208" s="9" t="inlineStr">
        <is>
          <t>حقوق و دستمزد</t>
        </is>
      </c>
      <c r="D208" s="9" t="inlineStr">
        <is>
          <t>ارسال/پرداخت مالیات حقوق ماه اردیبهشت</t>
        </is>
      </c>
      <c r="E208" s="9" t="inlineStr">
        <is>
          <t>ماهانه</t>
        </is>
      </c>
      <c r="F208" s="9" t="inlineStr">
        <is>
          <t>اردیبهشت</t>
        </is>
      </c>
      <c r="G208" s="10" t="n">
        <v>46194</v>
      </c>
      <c r="H208" s="9" t="inlineStr">
        <is>
          <t>1405/03/31</t>
        </is>
      </c>
      <c r="I208" s="9" t="n">
        <v>7</v>
      </c>
      <c r="J208" s="10">
        <f>IF(G208="","",G208-I208)</f>
        <v/>
      </c>
      <c r="K208" s="9" t="inlineStr">
        <is>
          <t>خیلی بالا</t>
        </is>
      </c>
      <c r="L208" s="9" t="inlineStr">
        <is>
          <t>باز</t>
        </is>
      </c>
      <c r="M208" s="9">
        <f>IF(D208="","",IF(L208="انجام شده","انجام شده",IF(L208="لغو شده","لغو شده",IF(G208&lt;TODAY(),"عقب‌افتاده",IF(G208=TODAY(),"امروز",IF(G208&lt;=TODAY()+7,"تا ۷ روز",IF(G208&lt;=TODAY()+15,"تا ۱۵ روز","آینده")))))))</f>
        <v/>
      </c>
      <c r="N208" s="9" t="inlineStr"/>
      <c r="O208" s="9" t="n">
        <v>0</v>
      </c>
      <c r="P208" s="10" t="n"/>
      <c r="Q208" s="9" t="inlineStr"/>
      <c r="R208" s="9" t="inlineStr">
        <is>
          <t>پیش‌فرض 1405</t>
        </is>
      </c>
      <c r="S208" s="9" t="inlineStr">
        <is>
          <t>T107</t>
        </is>
      </c>
      <c r="T208" s="9" t="inlineStr">
        <is>
          <t>بله</t>
        </is>
      </c>
    </row>
    <row r="209">
      <c r="A209" s="9" t="inlineStr">
        <is>
          <t>1405-0208</t>
        </is>
      </c>
      <c r="B209" s="9" t="inlineStr">
        <is>
          <t>رستگار صنعت پارس</t>
        </is>
      </c>
      <c r="C209" s="9" t="inlineStr">
        <is>
          <t>بایگانی</t>
        </is>
      </c>
      <c r="D209" s="9" t="inlineStr">
        <is>
          <t>بایگانی مدارک و اسناد ماه اردیبهشت</t>
        </is>
      </c>
      <c r="E209" s="9" t="inlineStr">
        <is>
          <t>ماهانه</t>
        </is>
      </c>
      <c r="F209" s="9" t="inlineStr">
        <is>
          <t>اردیبهشت</t>
        </is>
      </c>
      <c r="G209" s="10" t="n">
        <v>46178</v>
      </c>
      <c r="H209" s="9" t="inlineStr">
        <is>
          <t>1405/03/15</t>
        </is>
      </c>
      <c r="I209" s="9" t="n">
        <v>3</v>
      </c>
      <c r="J209" s="10">
        <f>IF(G209="","",G209-I209)</f>
        <v/>
      </c>
      <c r="K209" s="9" t="inlineStr">
        <is>
          <t>متوسط</t>
        </is>
      </c>
      <c r="L209" s="9" t="inlineStr">
        <is>
          <t>باز</t>
        </is>
      </c>
      <c r="M209" s="9">
        <f>IF(D209="","",IF(L209="انجام شده","انجام شده",IF(L209="لغو شده","لغو شده",IF(G209&lt;TODAY(),"عقب‌افتاده",IF(G209=TODAY(),"امروز",IF(G209&lt;=TODAY()+7,"تا ۷ روز",IF(G209&lt;=TODAY()+15,"تا ۱۵ روز","آینده")))))))</f>
        <v/>
      </c>
      <c r="N209" s="9" t="inlineStr"/>
      <c r="O209" s="9" t="n">
        <v>0</v>
      </c>
      <c r="P209" s="10" t="n"/>
      <c r="Q209" s="9" t="inlineStr"/>
      <c r="R209" s="9" t="inlineStr">
        <is>
          <t>پیش‌فرض 1405</t>
        </is>
      </c>
      <c r="S209" s="9" t="inlineStr">
        <is>
          <t>T108</t>
        </is>
      </c>
      <c r="T209" s="9" t="inlineStr">
        <is>
          <t>بله</t>
        </is>
      </c>
    </row>
    <row r="210">
      <c r="A210" s="9" t="inlineStr">
        <is>
          <t>1405-0209</t>
        </is>
      </c>
      <c r="B210" s="9" t="inlineStr">
        <is>
          <t>رستگار صنعت پارس</t>
        </is>
      </c>
      <c r="C210" s="9" t="inlineStr">
        <is>
          <t>پایان ماه</t>
        </is>
      </c>
      <c r="D210" s="9" t="inlineStr">
        <is>
          <t>مغایرت‌گیری بانکی ماه خرداد</t>
        </is>
      </c>
      <c r="E210" s="9" t="inlineStr">
        <is>
          <t>ماهانه</t>
        </is>
      </c>
      <c r="F210" s="9" t="inlineStr">
        <is>
          <t>خرداد</t>
        </is>
      </c>
      <c r="G210" s="10" t="n">
        <v>46199</v>
      </c>
      <c r="H210" s="9" t="inlineStr">
        <is>
          <t>1405/04/05</t>
        </is>
      </c>
      <c r="I210" s="9" t="n">
        <v>5</v>
      </c>
      <c r="J210" s="10">
        <f>IF(G210="","",G210-I210)</f>
        <v/>
      </c>
      <c r="K210" s="9" t="inlineStr">
        <is>
          <t>بالا</t>
        </is>
      </c>
      <c r="L210" s="9" t="inlineStr">
        <is>
          <t>باز</t>
        </is>
      </c>
      <c r="M210" s="9">
        <f>IF(D210="","",IF(L210="انجام شده","انجام شده",IF(L210="لغو شده","لغو شده",IF(G210&lt;TODAY(),"عقب‌افتاده",IF(G210=TODAY(),"امروز",IF(G210&lt;=TODAY()+7,"تا ۷ روز",IF(G210&lt;=TODAY()+15,"تا ۱۵ روز","آینده")))))))</f>
        <v/>
      </c>
      <c r="N210" s="9" t="inlineStr"/>
      <c r="O210" s="9" t="n">
        <v>0</v>
      </c>
      <c r="P210" s="10" t="n"/>
      <c r="Q210" s="9" t="inlineStr"/>
      <c r="R210" s="9" t="inlineStr">
        <is>
          <t>پیش‌فرض 1405</t>
        </is>
      </c>
      <c r="S210" s="9" t="inlineStr">
        <is>
          <t>T101</t>
        </is>
      </c>
      <c r="T210" s="9" t="inlineStr">
        <is>
          <t>بله</t>
        </is>
      </c>
    </row>
    <row r="211">
      <c r="A211" s="9" t="inlineStr">
        <is>
          <t>1405-0210</t>
        </is>
      </c>
      <c r="B211" s="9" t="inlineStr">
        <is>
          <t>رستگار صنعت پارس</t>
        </is>
      </c>
      <c r="C211" s="9" t="inlineStr">
        <is>
          <t>پایان ماه</t>
        </is>
      </c>
      <c r="D211" s="9" t="inlineStr">
        <is>
          <t>کنترل نهایی اسناد ماه خرداد</t>
        </is>
      </c>
      <c r="E211" s="9" t="inlineStr">
        <is>
          <t>ماهانه</t>
        </is>
      </c>
      <c r="F211" s="9" t="inlineStr">
        <is>
          <t>خرداد</t>
        </is>
      </c>
      <c r="G211" s="10" t="n">
        <v>46201</v>
      </c>
      <c r="H211" s="9" t="inlineStr">
        <is>
          <t>1405/04/07</t>
        </is>
      </c>
      <c r="I211" s="9" t="n">
        <v>5</v>
      </c>
      <c r="J211" s="10">
        <f>IF(G211="","",G211-I211)</f>
        <v/>
      </c>
      <c r="K211" s="9" t="inlineStr">
        <is>
          <t>بالا</t>
        </is>
      </c>
      <c r="L211" s="9" t="inlineStr">
        <is>
          <t>باز</t>
        </is>
      </c>
      <c r="M211" s="9">
        <f>IF(D211="","",IF(L211="انجام شده","انجام شده",IF(L211="لغو شده","لغو شده",IF(G211&lt;TODAY(),"عقب‌افتاده",IF(G211=TODAY(),"امروز",IF(G211&lt;=TODAY()+7,"تا ۷ روز",IF(G211&lt;=TODAY()+15,"تا ۱۵ روز","آینده")))))))</f>
        <v/>
      </c>
      <c r="N211" s="9" t="inlineStr"/>
      <c r="O211" s="9" t="n">
        <v>0</v>
      </c>
      <c r="P211" s="10" t="n"/>
      <c r="Q211" s="9" t="inlineStr"/>
      <c r="R211" s="9" t="inlineStr">
        <is>
          <t>پیش‌فرض 1405</t>
        </is>
      </c>
      <c r="S211" s="9" t="inlineStr">
        <is>
          <t>T102</t>
        </is>
      </c>
      <c r="T211" s="9" t="inlineStr">
        <is>
          <t>بله</t>
        </is>
      </c>
    </row>
    <row r="212">
      <c r="A212" s="9" t="inlineStr">
        <is>
          <t>1405-0211</t>
        </is>
      </c>
      <c r="B212" s="9" t="inlineStr">
        <is>
          <t>رستگار صنعت پارس</t>
        </is>
      </c>
      <c r="C212" s="9" t="inlineStr">
        <is>
          <t>پایان ماه</t>
        </is>
      </c>
      <c r="D212" s="9" t="inlineStr">
        <is>
          <t>بستن حساب‌های ماه خرداد و کنترل مانده‌ها</t>
        </is>
      </c>
      <c r="E212" s="9" t="inlineStr">
        <is>
          <t>ماهانه</t>
        </is>
      </c>
      <c r="F212" s="9" t="inlineStr">
        <is>
          <t>خرداد</t>
        </is>
      </c>
      <c r="G212" s="10" t="n">
        <v>46204</v>
      </c>
      <c r="H212" s="9" t="inlineStr">
        <is>
          <t>1405/04/10</t>
        </is>
      </c>
      <c r="I212" s="9" t="n">
        <v>7</v>
      </c>
      <c r="J212" s="10">
        <f>IF(G212="","",G212-I212)</f>
        <v/>
      </c>
      <c r="K212" s="9" t="inlineStr">
        <is>
          <t>بالا</t>
        </is>
      </c>
      <c r="L212" s="9" t="inlineStr">
        <is>
          <t>باز</t>
        </is>
      </c>
      <c r="M212" s="9">
        <f>IF(D212="","",IF(L212="انجام شده","انجام شده",IF(L212="لغو شده","لغو شده",IF(G212&lt;TODAY(),"عقب‌افتاده",IF(G212=TODAY(),"امروز",IF(G212&lt;=TODAY()+7,"تا ۷ روز",IF(G212&lt;=TODAY()+15,"تا ۱۵ روز","آینده")))))))</f>
        <v/>
      </c>
      <c r="N212" s="9" t="inlineStr"/>
      <c r="O212" s="9" t="n">
        <v>0</v>
      </c>
      <c r="P212" s="10" t="n"/>
      <c r="Q212" s="9" t="inlineStr"/>
      <c r="R212" s="9" t="inlineStr">
        <is>
          <t>پیش‌فرض 1405</t>
        </is>
      </c>
      <c r="S212" s="9" t="inlineStr">
        <is>
          <t>T103</t>
        </is>
      </c>
      <c r="T212" s="9" t="inlineStr">
        <is>
          <t>بله</t>
        </is>
      </c>
    </row>
    <row r="213">
      <c r="A213" s="9" t="inlineStr">
        <is>
          <t>1405-0212</t>
        </is>
      </c>
      <c r="B213" s="9" t="inlineStr">
        <is>
          <t>رستگار صنعت پارس</t>
        </is>
      </c>
      <c r="C213" s="9" t="inlineStr">
        <is>
          <t>گزارش</t>
        </is>
      </c>
      <c r="D213" s="9" t="inlineStr">
        <is>
          <t>تهیه گزارش مدیریت ماه خرداد</t>
        </is>
      </c>
      <c r="E213" s="9" t="inlineStr">
        <is>
          <t>ماهانه</t>
        </is>
      </c>
      <c r="F213" s="9" t="inlineStr">
        <is>
          <t>خرداد</t>
        </is>
      </c>
      <c r="G213" s="10" t="n">
        <v>46204</v>
      </c>
      <c r="H213" s="9" t="inlineStr">
        <is>
          <t>1405/04/10</t>
        </is>
      </c>
      <c r="I213" s="9" t="n">
        <v>5</v>
      </c>
      <c r="J213" s="10">
        <f>IF(G213="","",G213-I213)</f>
        <v/>
      </c>
      <c r="K213" s="9" t="inlineStr">
        <is>
          <t>متوسط</t>
        </is>
      </c>
      <c r="L213" s="9" t="inlineStr">
        <is>
          <t>باز</t>
        </is>
      </c>
      <c r="M213" s="9">
        <f>IF(D213="","",IF(L213="انجام شده","انجام شده",IF(L213="لغو شده","لغو شده",IF(G213&lt;TODAY(),"عقب‌افتاده",IF(G213=TODAY(),"امروز",IF(G213&lt;=TODAY()+7,"تا ۷ روز",IF(G213&lt;=TODAY()+15,"تا ۱۵ روز","آینده")))))))</f>
        <v/>
      </c>
      <c r="N213" s="9" t="inlineStr"/>
      <c r="O213" s="9" t="n">
        <v>0</v>
      </c>
      <c r="P213" s="10" t="n"/>
      <c r="Q213" s="9" t="inlineStr"/>
      <c r="R213" s="9" t="inlineStr">
        <is>
          <t>پیش‌فرض 1405</t>
        </is>
      </c>
      <c r="S213" s="9" t="inlineStr">
        <is>
          <t>T104</t>
        </is>
      </c>
      <c r="T213" s="9" t="inlineStr">
        <is>
          <t>بله</t>
        </is>
      </c>
    </row>
    <row r="214">
      <c r="A214" s="9" t="inlineStr">
        <is>
          <t>1405-0213</t>
        </is>
      </c>
      <c r="B214" s="9" t="inlineStr">
        <is>
          <t>رستگار صنعت پارس</t>
        </is>
      </c>
      <c r="C214" s="9" t="inlineStr">
        <is>
          <t>حقوق و دستمزد</t>
        </is>
      </c>
      <c r="D214" s="9" t="inlineStr">
        <is>
          <t>محاسبه حقوق و دستمزد ماه خرداد</t>
        </is>
      </c>
      <c r="E214" s="9" t="inlineStr">
        <is>
          <t>ماهانه</t>
        </is>
      </c>
      <c r="F214" s="9" t="inlineStr">
        <is>
          <t>خرداد</t>
        </is>
      </c>
      <c r="G214" s="10" t="n">
        <v>46191</v>
      </c>
      <c r="H214" s="9" t="inlineStr">
        <is>
          <t>1405/03/28</t>
        </is>
      </c>
      <c r="I214" s="9" t="n">
        <v>5</v>
      </c>
      <c r="J214" s="10">
        <f>IF(G214="","",G214-I214)</f>
        <v/>
      </c>
      <c r="K214" s="9" t="inlineStr">
        <is>
          <t>بالا</t>
        </is>
      </c>
      <c r="L214" s="9" t="inlineStr">
        <is>
          <t>باز</t>
        </is>
      </c>
      <c r="M214" s="9">
        <f>IF(D214="","",IF(L214="انجام شده","انجام شده",IF(L214="لغو شده","لغو شده",IF(G214&lt;TODAY(),"عقب‌افتاده",IF(G214=TODAY(),"امروز",IF(G214&lt;=TODAY()+7,"تا ۷ روز",IF(G214&lt;=TODAY()+15,"تا ۱۵ روز","آینده")))))))</f>
        <v/>
      </c>
      <c r="N214" s="9" t="inlineStr"/>
      <c r="O214" s="9" t="n">
        <v>0</v>
      </c>
      <c r="P214" s="10" t="n"/>
      <c r="Q214" s="9" t="inlineStr"/>
      <c r="R214" s="9" t="inlineStr">
        <is>
          <t>پیش‌فرض 1405</t>
        </is>
      </c>
      <c r="S214" s="9" t="inlineStr">
        <is>
          <t>T105</t>
        </is>
      </c>
      <c r="T214" s="9" t="inlineStr">
        <is>
          <t>بله</t>
        </is>
      </c>
    </row>
    <row r="215">
      <c r="A215" s="9" t="inlineStr">
        <is>
          <t>1405-0214</t>
        </is>
      </c>
      <c r="B215" s="9" t="inlineStr">
        <is>
          <t>رستگار صنعت پارس</t>
        </is>
      </c>
      <c r="C215" s="9" t="inlineStr">
        <is>
          <t>حقوق و دستمزد</t>
        </is>
      </c>
      <c r="D215" s="9" t="inlineStr">
        <is>
          <t>ارسال/پرداخت لیست بیمه ماه خرداد</t>
        </is>
      </c>
      <c r="E215" s="9" t="inlineStr">
        <is>
          <t>ماهانه</t>
        </is>
      </c>
      <c r="F215" s="9" t="inlineStr">
        <is>
          <t>خرداد</t>
        </is>
      </c>
      <c r="G215" s="10" t="n">
        <v>46225</v>
      </c>
      <c r="H215" s="9" t="inlineStr">
        <is>
          <t>1405/04/31</t>
        </is>
      </c>
      <c r="I215" s="9" t="n">
        <v>7</v>
      </c>
      <c r="J215" s="10">
        <f>IF(G215="","",G215-I215)</f>
        <v/>
      </c>
      <c r="K215" s="9" t="inlineStr">
        <is>
          <t>خیلی بالا</t>
        </is>
      </c>
      <c r="L215" s="9" t="inlineStr">
        <is>
          <t>باز</t>
        </is>
      </c>
      <c r="M215" s="9">
        <f>IF(D215="","",IF(L215="انجام شده","انجام شده",IF(L215="لغو شده","لغو شده",IF(G215&lt;TODAY(),"عقب‌افتاده",IF(G215=TODAY(),"امروز",IF(G215&lt;=TODAY()+7,"تا ۷ روز",IF(G215&lt;=TODAY()+15,"تا ۱۵ روز","آینده")))))))</f>
        <v/>
      </c>
      <c r="N215" s="9" t="inlineStr"/>
      <c r="O215" s="9" t="n">
        <v>0</v>
      </c>
      <c r="P215" s="10" t="n"/>
      <c r="Q215" s="9" t="inlineStr"/>
      <c r="R215" s="9" t="inlineStr">
        <is>
          <t>پیش‌فرض 1405</t>
        </is>
      </c>
      <c r="S215" s="9" t="inlineStr">
        <is>
          <t>T106</t>
        </is>
      </c>
      <c r="T215" s="9" t="inlineStr">
        <is>
          <t>بله</t>
        </is>
      </c>
    </row>
    <row r="216">
      <c r="A216" s="9" t="inlineStr">
        <is>
          <t>1405-0215</t>
        </is>
      </c>
      <c r="B216" s="9" t="inlineStr">
        <is>
          <t>رستگار صنعت پارس</t>
        </is>
      </c>
      <c r="C216" s="9" t="inlineStr">
        <is>
          <t>حقوق و دستمزد</t>
        </is>
      </c>
      <c r="D216" s="9" t="inlineStr">
        <is>
          <t>ارسال/پرداخت مالیات حقوق ماه خرداد</t>
        </is>
      </c>
      <c r="E216" s="9" t="inlineStr">
        <is>
          <t>ماهانه</t>
        </is>
      </c>
      <c r="F216" s="9" t="inlineStr">
        <is>
          <t>خرداد</t>
        </is>
      </c>
      <c r="G216" s="10" t="n">
        <v>46225</v>
      </c>
      <c r="H216" s="9" t="inlineStr">
        <is>
          <t>1405/04/31</t>
        </is>
      </c>
      <c r="I216" s="9" t="n">
        <v>7</v>
      </c>
      <c r="J216" s="10">
        <f>IF(G216="","",G216-I216)</f>
        <v/>
      </c>
      <c r="K216" s="9" t="inlineStr">
        <is>
          <t>خیلی بالا</t>
        </is>
      </c>
      <c r="L216" s="9" t="inlineStr">
        <is>
          <t>باز</t>
        </is>
      </c>
      <c r="M216" s="9">
        <f>IF(D216="","",IF(L216="انجام شده","انجام شده",IF(L216="لغو شده","لغو شده",IF(G216&lt;TODAY(),"عقب‌افتاده",IF(G216=TODAY(),"امروز",IF(G216&lt;=TODAY()+7,"تا ۷ روز",IF(G216&lt;=TODAY()+15,"تا ۱۵ روز","آینده")))))))</f>
        <v/>
      </c>
      <c r="N216" s="9" t="inlineStr"/>
      <c r="O216" s="9" t="n">
        <v>0</v>
      </c>
      <c r="P216" s="10" t="n"/>
      <c r="Q216" s="9" t="inlineStr"/>
      <c r="R216" s="9" t="inlineStr">
        <is>
          <t>پیش‌فرض 1405</t>
        </is>
      </c>
      <c r="S216" s="9" t="inlineStr">
        <is>
          <t>T107</t>
        </is>
      </c>
      <c r="T216" s="9" t="inlineStr">
        <is>
          <t>بله</t>
        </is>
      </c>
    </row>
    <row r="217">
      <c r="A217" s="9" t="inlineStr">
        <is>
          <t>1405-0216</t>
        </is>
      </c>
      <c r="B217" s="9" t="inlineStr">
        <is>
          <t>رستگار صنعت پارس</t>
        </is>
      </c>
      <c r="C217" s="9" t="inlineStr">
        <is>
          <t>بایگانی</t>
        </is>
      </c>
      <c r="D217" s="9" t="inlineStr">
        <is>
          <t>بایگانی مدارک و اسناد ماه خرداد</t>
        </is>
      </c>
      <c r="E217" s="9" t="inlineStr">
        <is>
          <t>ماهانه</t>
        </is>
      </c>
      <c r="F217" s="9" t="inlineStr">
        <is>
          <t>خرداد</t>
        </is>
      </c>
      <c r="G217" s="10" t="n">
        <v>46209</v>
      </c>
      <c r="H217" s="9" t="inlineStr">
        <is>
          <t>1405/04/15</t>
        </is>
      </c>
      <c r="I217" s="9" t="n">
        <v>3</v>
      </c>
      <c r="J217" s="10">
        <f>IF(G217="","",G217-I217)</f>
        <v/>
      </c>
      <c r="K217" s="9" t="inlineStr">
        <is>
          <t>متوسط</t>
        </is>
      </c>
      <c r="L217" s="9" t="inlineStr">
        <is>
          <t>باز</t>
        </is>
      </c>
      <c r="M217" s="9">
        <f>IF(D217="","",IF(L217="انجام شده","انجام شده",IF(L217="لغو شده","لغو شده",IF(G217&lt;TODAY(),"عقب‌افتاده",IF(G217=TODAY(),"امروز",IF(G217&lt;=TODAY()+7,"تا ۷ روز",IF(G217&lt;=TODAY()+15,"تا ۱۵ روز","آینده")))))))</f>
        <v/>
      </c>
      <c r="N217" s="9" t="inlineStr"/>
      <c r="O217" s="9" t="n">
        <v>0</v>
      </c>
      <c r="P217" s="10" t="n"/>
      <c r="Q217" s="9" t="inlineStr"/>
      <c r="R217" s="9" t="inlineStr">
        <is>
          <t>پیش‌فرض 1405</t>
        </is>
      </c>
      <c r="S217" s="9" t="inlineStr">
        <is>
          <t>T108</t>
        </is>
      </c>
      <c r="T217" s="9" t="inlineStr">
        <is>
          <t>بله</t>
        </is>
      </c>
    </row>
    <row r="218">
      <c r="A218" s="9" t="inlineStr">
        <is>
          <t>1405-0217</t>
        </is>
      </c>
      <c r="B218" s="9" t="inlineStr">
        <is>
          <t>رستگار صنعت پارس</t>
        </is>
      </c>
      <c r="C218" s="9" t="inlineStr">
        <is>
          <t>پایان ماه</t>
        </is>
      </c>
      <c r="D218" s="9" t="inlineStr">
        <is>
          <t>مغایرت‌گیری بانکی ماه تیر</t>
        </is>
      </c>
      <c r="E218" s="9" t="inlineStr">
        <is>
          <t>ماهانه</t>
        </is>
      </c>
      <c r="F218" s="9" t="inlineStr">
        <is>
          <t>تیر</t>
        </is>
      </c>
      <c r="G218" s="10" t="n">
        <v>46230</v>
      </c>
      <c r="H218" s="9" t="inlineStr">
        <is>
          <t>1405/05/05</t>
        </is>
      </c>
      <c r="I218" s="9" t="n">
        <v>5</v>
      </c>
      <c r="J218" s="10">
        <f>IF(G218="","",G218-I218)</f>
        <v/>
      </c>
      <c r="K218" s="9" t="inlineStr">
        <is>
          <t>بالا</t>
        </is>
      </c>
      <c r="L218" s="9" t="inlineStr">
        <is>
          <t>باز</t>
        </is>
      </c>
      <c r="M218" s="9">
        <f>IF(D218="","",IF(L218="انجام شده","انجام شده",IF(L218="لغو شده","لغو شده",IF(G218&lt;TODAY(),"عقب‌افتاده",IF(G218=TODAY(),"امروز",IF(G218&lt;=TODAY()+7,"تا ۷ روز",IF(G218&lt;=TODAY()+15,"تا ۱۵ روز","آینده")))))))</f>
        <v/>
      </c>
      <c r="N218" s="9" t="inlineStr"/>
      <c r="O218" s="9" t="n">
        <v>0</v>
      </c>
      <c r="P218" s="10" t="n"/>
      <c r="Q218" s="9" t="inlineStr"/>
      <c r="R218" s="9" t="inlineStr">
        <is>
          <t>پیش‌فرض 1405</t>
        </is>
      </c>
      <c r="S218" s="9" t="inlineStr">
        <is>
          <t>T101</t>
        </is>
      </c>
      <c r="T218" s="9" t="inlineStr">
        <is>
          <t>بله</t>
        </is>
      </c>
    </row>
    <row r="219">
      <c r="A219" s="9" t="inlineStr">
        <is>
          <t>1405-0218</t>
        </is>
      </c>
      <c r="B219" s="9" t="inlineStr">
        <is>
          <t>رستگار صنعت پارس</t>
        </is>
      </c>
      <c r="C219" s="9" t="inlineStr">
        <is>
          <t>پایان ماه</t>
        </is>
      </c>
      <c r="D219" s="9" t="inlineStr">
        <is>
          <t>کنترل نهایی اسناد ماه تیر</t>
        </is>
      </c>
      <c r="E219" s="9" t="inlineStr">
        <is>
          <t>ماهانه</t>
        </is>
      </c>
      <c r="F219" s="9" t="inlineStr">
        <is>
          <t>تیر</t>
        </is>
      </c>
      <c r="G219" s="10" t="n">
        <v>46232</v>
      </c>
      <c r="H219" s="9" t="inlineStr">
        <is>
          <t>1405/05/07</t>
        </is>
      </c>
      <c r="I219" s="9" t="n">
        <v>5</v>
      </c>
      <c r="J219" s="10">
        <f>IF(G219="","",G219-I219)</f>
        <v/>
      </c>
      <c r="K219" s="9" t="inlineStr">
        <is>
          <t>بالا</t>
        </is>
      </c>
      <c r="L219" s="9" t="inlineStr">
        <is>
          <t>باز</t>
        </is>
      </c>
      <c r="M219" s="9">
        <f>IF(D219="","",IF(L219="انجام شده","انجام شده",IF(L219="لغو شده","لغو شده",IF(G219&lt;TODAY(),"عقب‌افتاده",IF(G219=TODAY(),"امروز",IF(G219&lt;=TODAY()+7,"تا ۷ روز",IF(G219&lt;=TODAY()+15,"تا ۱۵ روز","آینده")))))))</f>
        <v/>
      </c>
      <c r="N219" s="9" t="inlineStr"/>
      <c r="O219" s="9" t="n">
        <v>0</v>
      </c>
      <c r="P219" s="10" t="n"/>
      <c r="Q219" s="9" t="inlineStr"/>
      <c r="R219" s="9" t="inlineStr">
        <is>
          <t>پیش‌فرض 1405</t>
        </is>
      </c>
      <c r="S219" s="9" t="inlineStr">
        <is>
          <t>T102</t>
        </is>
      </c>
      <c r="T219" s="9" t="inlineStr">
        <is>
          <t>بله</t>
        </is>
      </c>
    </row>
    <row r="220">
      <c r="A220" s="9" t="inlineStr">
        <is>
          <t>1405-0219</t>
        </is>
      </c>
      <c r="B220" s="9" t="inlineStr">
        <is>
          <t>رستگار صنعت پارس</t>
        </is>
      </c>
      <c r="C220" s="9" t="inlineStr">
        <is>
          <t>پایان ماه</t>
        </is>
      </c>
      <c r="D220" s="9" t="inlineStr">
        <is>
          <t>بستن حساب‌های ماه تیر و کنترل مانده‌ها</t>
        </is>
      </c>
      <c r="E220" s="9" t="inlineStr">
        <is>
          <t>ماهانه</t>
        </is>
      </c>
      <c r="F220" s="9" t="inlineStr">
        <is>
          <t>تیر</t>
        </is>
      </c>
      <c r="G220" s="10" t="n">
        <v>46235</v>
      </c>
      <c r="H220" s="9" t="inlineStr">
        <is>
          <t>1405/05/10</t>
        </is>
      </c>
      <c r="I220" s="9" t="n">
        <v>7</v>
      </c>
      <c r="J220" s="10">
        <f>IF(G220="","",G220-I220)</f>
        <v/>
      </c>
      <c r="K220" s="9" t="inlineStr">
        <is>
          <t>بالا</t>
        </is>
      </c>
      <c r="L220" s="9" t="inlineStr">
        <is>
          <t>باز</t>
        </is>
      </c>
      <c r="M220" s="9">
        <f>IF(D220="","",IF(L220="انجام شده","انجام شده",IF(L220="لغو شده","لغو شده",IF(G220&lt;TODAY(),"عقب‌افتاده",IF(G220=TODAY(),"امروز",IF(G220&lt;=TODAY()+7,"تا ۷ روز",IF(G220&lt;=TODAY()+15,"تا ۱۵ روز","آینده")))))))</f>
        <v/>
      </c>
      <c r="N220" s="9" t="inlineStr"/>
      <c r="O220" s="9" t="n">
        <v>0</v>
      </c>
      <c r="P220" s="10" t="n"/>
      <c r="Q220" s="9" t="inlineStr"/>
      <c r="R220" s="9" t="inlineStr">
        <is>
          <t>پیش‌فرض 1405</t>
        </is>
      </c>
      <c r="S220" s="9" t="inlineStr">
        <is>
          <t>T103</t>
        </is>
      </c>
      <c r="T220" s="9" t="inlineStr">
        <is>
          <t>بله</t>
        </is>
      </c>
    </row>
    <row r="221">
      <c r="A221" s="9" t="inlineStr">
        <is>
          <t>1405-0220</t>
        </is>
      </c>
      <c r="B221" s="9" t="inlineStr">
        <is>
          <t>رستگار صنعت پارس</t>
        </is>
      </c>
      <c r="C221" s="9" t="inlineStr">
        <is>
          <t>گزارش</t>
        </is>
      </c>
      <c r="D221" s="9" t="inlineStr">
        <is>
          <t>تهیه گزارش مدیریت ماه تیر</t>
        </is>
      </c>
      <c r="E221" s="9" t="inlineStr">
        <is>
          <t>ماهانه</t>
        </is>
      </c>
      <c r="F221" s="9" t="inlineStr">
        <is>
          <t>تیر</t>
        </is>
      </c>
      <c r="G221" s="10" t="n">
        <v>46235</v>
      </c>
      <c r="H221" s="9" t="inlineStr">
        <is>
          <t>1405/05/10</t>
        </is>
      </c>
      <c r="I221" s="9" t="n">
        <v>5</v>
      </c>
      <c r="J221" s="10">
        <f>IF(G221="","",G221-I221)</f>
        <v/>
      </c>
      <c r="K221" s="9" t="inlineStr">
        <is>
          <t>متوسط</t>
        </is>
      </c>
      <c r="L221" s="9" t="inlineStr">
        <is>
          <t>باز</t>
        </is>
      </c>
      <c r="M221" s="9">
        <f>IF(D221="","",IF(L221="انجام شده","انجام شده",IF(L221="لغو شده","لغو شده",IF(G221&lt;TODAY(),"عقب‌افتاده",IF(G221=TODAY(),"امروز",IF(G221&lt;=TODAY()+7,"تا ۷ روز",IF(G221&lt;=TODAY()+15,"تا ۱۵ روز","آینده")))))))</f>
        <v/>
      </c>
      <c r="N221" s="9" t="inlineStr"/>
      <c r="O221" s="9" t="n">
        <v>0</v>
      </c>
      <c r="P221" s="10" t="n"/>
      <c r="Q221" s="9" t="inlineStr"/>
      <c r="R221" s="9" t="inlineStr">
        <is>
          <t>پیش‌فرض 1405</t>
        </is>
      </c>
      <c r="S221" s="9" t="inlineStr">
        <is>
          <t>T104</t>
        </is>
      </c>
      <c r="T221" s="9" t="inlineStr">
        <is>
          <t>بله</t>
        </is>
      </c>
    </row>
    <row r="222">
      <c r="A222" s="9" t="inlineStr">
        <is>
          <t>1405-0221</t>
        </is>
      </c>
      <c r="B222" s="9" t="inlineStr">
        <is>
          <t>رستگار صنعت پارس</t>
        </is>
      </c>
      <c r="C222" s="9" t="inlineStr">
        <is>
          <t>حقوق و دستمزد</t>
        </is>
      </c>
      <c r="D222" s="9" t="inlineStr">
        <is>
          <t>محاسبه حقوق و دستمزد ماه تیر</t>
        </is>
      </c>
      <c r="E222" s="9" t="inlineStr">
        <is>
          <t>ماهانه</t>
        </is>
      </c>
      <c r="F222" s="9" t="inlineStr">
        <is>
          <t>تیر</t>
        </is>
      </c>
      <c r="G222" s="10" t="n">
        <v>46222</v>
      </c>
      <c r="H222" s="9" t="inlineStr">
        <is>
          <t>1405/04/28</t>
        </is>
      </c>
      <c r="I222" s="9" t="n">
        <v>5</v>
      </c>
      <c r="J222" s="10">
        <f>IF(G222="","",G222-I222)</f>
        <v/>
      </c>
      <c r="K222" s="9" t="inlineStr">
        <is>
          <t>بالا</t>
        </is>
      </c>
      <c r="L222" s="9" t="inlineStr">
        <is>
          <t>باز</t>
        </is>
      </c>
      <c r="M222" s="9">
        <f>IF(D222="","",IF(L222="انجام شده","انجام شده",IF(L222="لغو شده","لغو شده",IF(G222&lt;TODAY(),"عقب‌افتاده",IF(G222=TODAY(),"امروز",IF(G222&lt;=TODAY()+7,"تا ۷ روز",IF(G222&lt;=TODAY()+15,"تا ۱۵ روز","آینده")))))))</f>
        <v/>
      </c>
      <c r="N222" s="9" t="inlineStr"/>
      <c r="O222" s="9" t="n">
        <v>0</v>
      </c>
      <c r="P222" s="10" t="n"/>
      <c r="Q222" s="9" t="inlineStr"/>
      <c r="R222" s="9" t="inlineStr">
        <is>
          <t>پیش‌فرض 1405</t>
        </is>
      </c>
      <c r="S222" s="9" t="inlineStr">
        <is>
          <t>T105</t>
        </is>
      </c>
      <c r="T222" s="9" t="inlineStr">
        <is>
          <t>بله</t>
        </is>
      </c>
    </row>
    <row r="223">
      <c r="A223" s="9" t="inlineStr">
        <is>
          <t>1405-0222</t>
        </is>
      </c>
      <c r="B223" s="9" t="inlineStr">
        <is>
          <t>رستگار صنعت پارس</t>
        </is>
      </c>
      <c r="C223" s="9" t="inlineStr">
        <is>
          <t>حقوق و دستمزد</t>
        </is>
      </c>
      <c r="D223" s="9" t="inlineStr">
        <is>
          <t>ارسال/پرداخت لیست بیمه ماه تیر</t>
        </is>
      </c>
      <c r="E223" s="9" t="inlineStr">
        <is>
          <t>ماهانه</t>
        </is>
      </c>
      <c r="F223" s="9" t="inlineStr">
        <is>
          <t>تیر</t>
        </is>
      </c>
      <c r="G223" s="10" t="n">
        <v>46256</v>
      </c>
      <c r="H223" s="9" t="inlineStr">
        <is>
          <t>1405/05/31</t>
        </is>
      </c>
      <c r="I223" s="9" t="n">
        <v>7</v>
      </c>
      <c r="J223" s="10">
        <f>IF(G223="","",G223-I223)</f>
        <v/>
      </c>
      <c r="K223" s="9" t="inlineStr">
        <is>
          <t>خیلی بالا</t>
        </is>
      </c>
      <c r="L223" s="9" t="inlineStr">
        <is>
          <t>باز</t>
        </is>
      </c>
      <c r="M223" s="9">
        <f>IF(D223="","",IF(L223="انجام شده","انجام شده",IF(L223="لغو شده","لغو شده",IF(G223&lt;TODAY(),"عقب‌افتاده",IF(G223=TODAY(),"امروز",IF(G223&lt;=TODAY()+7,"تا ۷ روز",IF(G223&lt;=TODAY()+15,"تا ۱۵ روز","آینده")))))))</f>
        <v/>
      </c>
      <c r="N223" s="9" t="inlineStr"/>
      <c r="O223" s="9" t="n">
        <v>0</v>
      </c>
      <c r="P223" s="10" t="n"/>
      <c r="Q223" s="9" t="inlineStr"/>
      <c r="R223" s="9" t="inlineStr">
        <is>
          <t>پیش‌فرض 1405</t>
        </is>
      </c>
      <c r="S223" s="9" t="inlineStr">
        <is>
          <t>T106</t>
        </is>
      </c>
      <c r="T223" s="9" t="inlineStr">
        <is>
          <t>بله</t>
        </is>
      </c>
    </row>
    <row r="224">
      <c r="A224" s="9" t="inlineStr">
        <is>
          <t>1405-0223</t>
        </is>
      </c>
      <c r="B224" s="9" t="inlineStr">
        <is>
          <t>رستگار صنعت پارس</t>
        </is>
      </c>
      <c r="C224" s="9" t="inlineStr">
        <is>
          <t>حقوق و دستمزد</t>
        </is>
      </c>
      <c r="D224" s="9" t="inlineStr">
        <is>
          <t>ارسال/پرداخت مالیات حقوق ماه تیر</t>
        </is>
      </c>
      <c r="E224" s="9" t="inlineStr">
        <is>
          <t>ماهانه</t>
        </is>
      </c>
      <c r="F224" s="9" t="inlineStr">
        <is>
          <t>تیر</t>
        </is>
      </c>
      <c r="G224" s="10" t="n">
        <v>46256</v>
      </c>
      <c r="H224" s="9" t="inlineStr">
        <is>
          <t>1405/05/31</t>
        </is>
      </c>
      <c r="I224" s="9" t="n">
        <v>7</v>
      </c>
      <c r="J224" s="10">
        <f>IF(G224="","",G224-I224)</f>
        <v/>
      </c>
      <c r="K224" s="9" t="inlineStr">
        <is>
          <t>خیلی بالا</t>
        </is>
      </c>
      <c r="L224" s="9" t="inlineStr">
        <is>
          <t>باز</t>
        </is>
      </c>
      <c r="M224" s="9">
        <f>IF(D224="","",IF(L224="انجام شده","انجام شده",IF(L224="لغو شده","لغو شده",IF(G224&lt;TODAY(),"عقب‌افتاده",IF(G224=TODAY(),"امروز",IF(G224&lt;=TODAY()+7,"تا ۷ روز",IF(G224&lt;=TODAY()+15,"تا ۱۵ روز","آینده")))))))</f>
        <v/>
      </c>
      <c r="N224" s="9" t="inlineStr"/>
      <c r="O224" s="9" t="n">
        <v>0</v>
      </c>
      <c r="P224" s="10" t="n"/>
      <c r="Q224" s="9" t="inlineStr"/>
      <c r="R224" s="9" t="inlineStr">
        <is>
          <t>پیش‌فرض 1405</t>
        </is>
      </c>
      <c r="S224" s="9" t="inlineStr">
        <is>
          <t>T107</t>
        </is>
      </c>
      <c r="T224" s="9" t="inlineStr">
        <is>
          <t>بله</t>
        </is>
      </c>
    </row>
    <row r="225">
      <c r="A225" s="9" t="inlineStr">
        <is>
          <t>1405-0224</t>
        </is>
      </c>
      <c r="B225" s="9" t="inlineStr">
        <is>
          <t>رستگار صنعت پارس</t>
        </is>
      </c>
      <c r="C225" s="9" t="inlineStr">
        <is>
          <t>بایگانی</t>
        </is>
      </c>
      <c r="D225" s="9" t="inlineStr">
        <is>
          <t>بایگانی مدارک و اسناد ماه تیر</t>
        </is>
      </c>
      <c r="E225" s="9" t="inlineStr">
        <is>
          <t>ماهانه</t>
        </is>
      </c>
      <c r="F225" s="9" t="inlineStr">
        <is>
          <t>تیر</t>
        </is>
      </c>
      <c r="G225" s="10" t="n">
        <v>46240</v>
      </c>
      <c r="H225" s="9" t="inlineStr">
        <is>
          <t>1405/05/15</t>
        </is>
      </c>
      <c r="I225" s="9" t="n">
        <v>3</v>
      </c>
      <c r="J225" s="10">
        <f>IF(G225="","",G225-I225)</f>
        <v/>
      </c>
      <c r="K225" s="9" t="inlineStr">
        <is>
          <t>متوسط</t>
        </is>
      </c>
      <c r="L225" s="9" t="inlineStr">
        <is>
          <t>باز</t>
        </is>
      </c>
      <c r="M225" s="9">
        <f>IF(D225="","",IF(L225="انجام شده","انجام شده",IF(L225="لغو شده","لغو شده",IF(G225&lt;TODAY(),"عقب‌افتاده",IF(G225=TODAY(),"امروز",IF(G225&lt;=TODAY()+7,"تا ۷ روز",IF(G225&lt;=TODAY()+15,"تا ۱۵ روز","آینده")))))))</f>
        <v/>
      </c>
      <c r="N225" s="9" t="inlineStr"/>
      <c r="O225" s="9" t="n">
        <v>0</v>
      </c>
      <c r="P225" s="10" t="n"/>
      <c r="Q225" s="9" t="inlineStr"/>
      <c r="R225" s="9" t="inlineStr">
        <is>
          <t>پیش‌فرض 1405</t>
        </is>
      </c>
      <c r="S225" s="9" t="inlineStr">
        <is>
          <t>T108</t>
        </is>
      </c>
      <c r="T225" s="9" t="inlineStr">
        <is>
          <t>بله</t>
        </is>
      </c>
    </row>
    <row r="226">
      <c r="A226" s="9" t="inlineStr">
        <is>
          <t>1405-0225</t>
        </is>
      </c>
      <c r="B226" s="9" t="inlineStr">
        <is>
          <t>رستگار صنعت پارس</t>
        </is>
      </c>
      <c r="C226" s="9" t="inlineStr">
        <is>
          <t>پایان ماه</t>
        </is>
      </c>
      <c r="D226" s="9" t="inlineStr">
        <is>
          <t>مغایرت‌گیری بانکی ماه مرداد</t>
        </is>
      </c>
      <c r="E226" s="9" t="inlineStr">
        <is>
          <t>ماهانه</t>
        </is>
      </c>
      <c r="F226" s="9" t="inlineStr">
        <is>
          <t>مرداد</t>
        </is>
      </c>
      <c r="G226" s="10" t="n">
        <v>46261</v>
      </c>
      <c r="H226" s="9" t="inlineStr">
        <is>
          <t>1405/06/05</t>
        </is>
      </c>
      <c r="I226" s="9" t="n">
        <v>5</v>
      </c>
      <c r="J226" s="10">
        <f>IF(G226="","",G226-I226)</f>
        <v/>
      </c>
      <c r="K226" s="9" t="inlineStr">
        <is>
          <t>بالا</t>
        </is>
      </c>
      <c r="L226" s="9" t="inlineStr">
        <is>
          <t>باز</t>
        </is>
      </c>
      <c r="M226" s="9">
        <f>IF(D226="","",IF(L226="انجام شده","انجام شده",IF(L226="لغو شده","لغو شده",IF(G226&lt;TODAY(),"عقب‌افتاده",IF(G226=TODAY(),"امروز",IF(G226&lt;=TODAY()+7,"تا ۷ روز",IF(G226&lt;=TODAY()+15,"تا ۱۵ روز","آینده")))))))</f>
        <v/>
      </c>
      <c r="N226" s="9" t="inlineStr"/>
      <c r="O226" s="9" t="n">
        <v>0</v>
      </c>
      <c r="P226" s="10" t="n"/>
      <c r="Q226" s="9" t="inlineStr"/>
      <c r="R226" s="9" t="inlineStr">
        <is>
          <t>پیش‌فرض 1405</t>
        </is>
      </c>
      <c r="S226" s="9" t="inlineStr">
        <is>
          <t>T101</t>
        </is>
      </c>
      <c r="T226" s="9" t="inlineStr">
        <is>
          <t>بله</t>
        </is>
      </c>
    </row>
    <row r="227">
      <c r="A227" s="9" t="inlineStr">
        <is>
          <t>1405-0226</t>
        </is>
      </c>
      <c r="B227" s="9" t="inlineStr">
        <is>
          <t>رستگار صنعت پارس</t>
        </is>
      </c>
      <c r="C227" s="9" t="inlineStr">
        <is>
          <t>پایان ماه</t>
        </is>
      </c>
      <c r="D227" s="9" t="inlineStr">
        <is>
          <t>کنترل نهایی اسناد ماه مرداد</t>
        </is>
      </c>
      <c r="E227" s="9" t="inlineStr">
        <is>
          <t>ماهانه</t>
        </is>
      </c>
      <c r="F227" s="9" t="inlineStr">
        <is>
          <t>مرداد</t>
        </is>
      </c>
      <c r="G227" s="10" t="n">
        <v>46263</v>
      </c>
      <c r="H227" s="9" t="inlineStr">
        <is>
          <t>1405/06/07</t>
        </is>
      </c>
      <c r="I227" s="9" t="n">
        <v>5</v>
      </c>
      <c r="J227" s="10">
        <f>IF(G227="","",G227-I227)</f>
        <v/>
      </c>
      <c r="K227" s="9" t="inlineStr">
        <is>
          <t>بالا</t>
        </is>
      </c>
      <c r="L227" s="9" t="inlineStr">
        <is>
          <t>باز</t>
        </is>
      </c>
      <c r="M227" s="9">
        <f>IF(D227="","",IF(L227="انجام شده","انجام شده",IF(L227="لغو شده","لغو شده",IF(G227&lt;TODAY(),"عقب‌افتاده",IF(G227=TODAY(),"امروز",IF(G227&lt;=TODAY()+7,"تا ۷ روز",IF(G227&lt;=TODAY()+15,"تا ۱۵ روز","آینده")))))))</f>
        <v/>
      </c>
      <c r="N227" s="9" t="inlineStr"/>
      <c r="O227" s="9" t="n">
        <v>0</v>
      </c>
      <c r="P227" s="10" t="n"/>
      <c r="Q227" s="9" t="inlineStr"/>
      <c r="R227" s="9" t="inlineStr">
        <is>
          <t>پیش‌فرض 1405</t>
        </is>
      </c>
      <c r="S227" s="9" t="inlineStr">
        <is>
          <t>T102</t>
        </is>
      </c>
      <c r="T227" s="9" t="inlineStr">
        <is>
          <t>بله</t>
        </is>
      </c>
    </row>
    <row r="228">
      <c r="A228" s="9" t="inlineStr">
        <is>
          <t>1405-0227</t>
        </is>
      </c>
      <c r="B228" s="9" t="inlineStr">
        <is>
          <t>رستگار صنعت پارس</t>
        </is>
      </c>
      <c r="C228" s="9" t="inlineStr">
        <is>
          <t>پایان ماه</t>
        </is>
      </c>
      <c r="D228" s="9" t="inlineStr">
        <is>
          <t>بستن حساب‌های ماه مرداد و کنترل مانده‌ها</t>
        </is>
      </c>
      <c r="E228" s="9" t="inlineStr">
        <is>
          <t>ماهانه</t>
        </is>
      </c>
      <c r="F228" s="9" t="inlineStr">
        <is>
          <t>مرداد</t>
        </is>
      </c>
      <c r="G228" s="10" t="n">
        <v>46266</v>
      </c>
      <c r="H228" s="9" t="inlineStr">
        <is>
          <t>1405/06/10</t>
        </is>
      </c>
      <c r="I228" s="9" t="n">
        <v>7</v>
      </c>
      <c r="J228" s="10">
        <f>IF(G228="","",G228-I228)</f>
        <v/>
      </c>
      <c r="K228" s="9" t="inlineStr">
        <is>
          <t>بالا</t>
        </is>
      </c>
      <c r="L228" s="9" t="inlineStr">
        <is>
          <t>باز</t>
        </is>
      </c>
      <c r="M228" s="9">
        <f>IF(D228="","",IF(L228="انجام شده","انجام شده",IF(L228="لغو شده","لغو شده",IF(G228&lt;TODAY(),"عقب‌افتاده",IF(G228=TODAY(),"امروز",IF(G228&lt;=TODAY()+7,"تا ۷ روز",IF(G228&lt;=TODAY()+15,"تا ۱۵ روز","آینده")))))))</f>
        <v/>
      </c>
      <c r="N228" s="9" t="inlineStr"/>
      <c r="O228" s="9" t="n">
        <v>0</v>
      </c>
      <c r="P228" s="10" t="n"/>
      <c r="Q228" s="9" t="inlineStr"/>
      <c r="R228" s="9" t="inlineStr">
        <is>
          <t>پیش‌فرض 1405</t>
        </is>
      </c>
      <c r="S228" s="9" t="inlineStr">
        <is>
          <t>T103</t>
        </is>
      </c>
      <c r="T228" s="9" t="inlineStr">
        <is>
          <t>بله</t>
        </is>
      </c>
    </row>
    <row r="229">
      <c r="A229" s="9" t="inlineStr">
        <is>
          <t>1405-0228</t>
        </is>
      </c>
      <c r="B229" s="9" t="inlineStr">
        <is>
          <t>رستگار صنعت پارس</t>
        </is>
      </c>
      <c r="C229" s="9" t="inlineStr">
        <is>
          <t>گزارش</t>
        </is>
      </c>
      <c r="D229" s="9" t="inlineStr">
        <is>
          <t>تهیه گزارش مدیریت ماه مرداد</t>
        </is>
      </c>
      <c r="E229" s="9" t="inlineStr">
        <is>
          <t>ماهانه</t>
        </is>
      </c>
      <c r="F229" s="9" t="inlineStr">
        <is>
          <t>مرداد</t>
        </is>
      </c>
      <c r="G229" s="10" t="n">
        <v>46266</v>
      </c>
      <c r="H229" s="9" t="inlineStr">
        <is>
          <t>1405/06/10</t>
        </is>
      </c>
      <c r="I229" s="9" t="n">
        <v>5</v>
      </c>
      <c r="J229" s="10">
        <f>IF(G229="","",G229-I229)</f>
        <v/>
      </c>
      <c r="K229" s="9" t="inlineStr">
        <is>
          <t>متوسط</t>
        </is>
      </c>
      <c r="L229" s="9" t="inlineStr">
        <is>
          <t>باز</t>
        </is>
      </c>
      <c r="M229" s="9">
        <f>IF(D229="","",IF(L229="انجام شده","انجام شده",IF(L229="لغو شده","لغو شده",IF(G229&lt;TODAY(),"عقب‌افتاده",IF(G229=TODAY(),"امروز",IF(G229&lt;=TODAY()+7,"تا ۷ روز",IF(G229&lt;=TODAY()+15,"تا ۱۵ روز","آینده")))))))</f>
        <v/>
      </c>
      <c r="N229" s="9" t="inlineStr"/>
      <c r="O229" s="9" t="n">
        <v>0</v>
      </c>
      <c r="P229" s="10" t="n"/>
      <c r="Q229" s="9" t="inlineStr"/>
      <c r="R229" s="9" t="inlineStr">
        <is>
          <t>پیش‌فرض 1405</t>
        </is>
      </c>
      <c r="S229" s="9" t="inlineStr">
        <is>
          <t>T104</t>
        </is>
      </c>
      <c r="T229" s="9" t="inlineStr">
        <is>
          <t>بله</t>
        </is>
      </c>
    </row>
    <row r="230">
      <c r="A230" s="9" t="inlineStr">
        <is>
          <t>1405-0229</t>
        </is>
      </c>
      <c r="B230" s="9" t="inlineStr">
        <is>
          <t>رستگار صنعت پارس</t>
        </is>
      </c>
      <c r="C230" s="9" t="inlineStr">
        <is>
          <t>حقوق و دستمزد</t>
        </is>
      </c>
      <c r="D230" s="9" t="inlineStr">
        <is>
          <t>محاسبه حقوق و دستمزد ماه مرداد</t>
        </is>
      </c>
      <c r="E230" s="9" t="inlineStr">
        <is>
          <t>ماهانه</t>
        </is>
      </c>
      <c r="F230" s="9" t="inlineStr">
        <is>
          <t>مرداد</t>
        </is>
      </c>
      <c r="G230" s="10" t="n">
        <v>46253</v>
      </c>
      <c r="H230" s="9" t="inlineStr">
        <is>
          <t>1405/05/28</t>
        </is>
      </c>
      <c r="I230" s="9" t="n">
        <v>5</v>
      </c>
      <c r="J230" s="10">
        <f>IF(G230="","",G230-I230)</f>
        <v/>
      </c>
      <c r="K230" s="9" t="inlineStr">
        <is>
          <t>بالا</t>
        </is>
      </c>
      <c r="L230" s="9" t="inlineStr">
        <is>
          <t>باز</t>
        </is>
      </c>
      <c r="M230" s="9">
        <f>IF(D230="","",IF(L230="انجام شده","انجام شده",IF(L230="لغو شده","لغو شده",IF(G230&lt;TODAY(),"عقب‌افتاده",IF(G230=TODAY(),"امروز",IF(G230&lt;=TODAY()+7,"تا ۷ روز",IF(G230&lt;=TODAY()+15,"تا ۱۵ روز","آینده")))))))</f>
        <v/>
      </c>
      <c r="N230" s="9" t="inlineStr"/>
      <c r="O230" s="9" t="n">
        <v>0</v>
      </c>
      <c r="P230" s="10" t="n"/>
      <c r="Q230" s="9" t="inlineStr"/>
      <c r="R230" s="9" t="inlineStr">
        <is>
          <t>پیش‌فرض 1405</t>
        </is>
      </c>
      <c r="S230" s="9" t="inlineStr">
        <is>
          <t>T105</t>
        </is>
      </c>
      <c r="T230" s="9" t="inlineStr">
        <is>
          <t>بله</t>
        </is>
      </c>
    </row>
    <row r="231">
      <c r="A231" s="9" t="inlineStr">
        <is>
          <t>1405-0230</t>
        </is>
      </c>
      <c r="B231" s="9" t="inlineStr">
        <is>
          <t>رستگار صنعت پارس</t>
        </is>
      </c>
      <c r="C231" s="9" t="inlineStr">
        <is>
          <t>حقوق و دستمزد</t>
        </is>
      </c>
      <c r="D231" s="9" t="inlineStr">
        <is>
          <t>ارسال/پرداخت لیست بیمه ماه مرداد</t>
        </is>
      </c>
      <c r="E231" s="9" t="inlineStr">
        <is>
          <t>ماهانه</t>
        </is>
      </c>
      <c r="F231" s="9" t="inlineStr">
        <is>
          <t>مرداد</t>
        </is>
      </c>
      <c r="G231" s="10" t="n">
        <v>46287</v>
      </c>
      <c r="H231" s="9" t="inlineStr">
        <is>
          <t>1405/06/31</t>
        </is>
      </c>
      <c r="I231" s="9" t="n">
        <v>7</v>
      </c>
      <c r="J231" s="10">
        <f>IF(G231="","",G231-I231)</f>
        <v/>
      </c>
      <c r="K231" s="9" t="inlineStr">
        <is>
          <t>خیلی بالا</t>
        </is>
      </c>
      <c r="L231" s="9" t="inlineStr">
        <is>
          <t>باز</t>
        </is>
      </c>
      <c r="M231" s="9">
        <f>IF(D231="","",IF(L231="انجام شده","انجام شده",IF(L231="لغو شده","لغو شده",IF(G231&lt;TODAY(),"عقب‌افتاده",IF(G231=TODAY(),"امروز",IF(G231&lt;=TODAY()+7,"تا ۷ روز",IF(G231&lt;=TODAY()+15,"تا ۱۵ روز","آینده")))))))</f>
        <v/>
      </c>
      <c r="N231" s="9" t="inlineStr"/>
      <c r="O231" s="9" t="n">
        <v>0</v>
      </c>
      <c r="P231" s="10" t="n"/>
      <c r="Q231" s="9" t="inlineStr"/>
      <c r="R231" s="9" t="inlineStr">
        <is>
          <t>پیش‌فرض 1405</t>
        </is>
      </c>
      <c r="S231" s="9" t="inlineStr">
        <is>
          <t>T106</t>
        </is>
      </c>
      <c r="T231" s="9" t="inlineStr">
        <is>
          <t>بله</t>
        </is>
      </c>
    </row>
    <row r="232">
      <c r="A232" s="9" t="inlineStr">
        <is>
          <t>1405-0231</t>
        </is>
      </c>
      <c r="B232" s="9" t="inlineStr">
        <is>
          <t>رستگار صنعت پارس</t>
        </is>
      </c>
      <c r="C232" s="9" t="inlineStr">
        <is>
          <t>حقوق و دستمزد</t>
        </is>
      </c>
      <c r="D232" s="9" t="inlineStr">
        <is>
          <t>ارسال/پرداخت مالیات حقوق ماه مرداد</t>
        </is>
      </c>
      <c r="E232" s="9" t="inlineStr">
        <is>
          <t>ماهانه</t>
        </is>
      </c>
      <c r="F232" s="9" t="inlineStr">
        <is>
          <t>مرداد</t>
        </is>
      </c>
      <c r="G232" s="10" t="n">
        <v>46287</v>
      </c>
      <c r="H232" s="9" t="inlineStr">
        <is>
          <t>1405/06/31</t>
        </is>
      </c>
      <c r="I232" s="9" t="n">
        <v>7</v>
      </c>
      <c r="J232" s="10">
        <f>IF(G232="","",G232-I232)</f>
        <v/>
      </c>
      <c r="K232" s="9" t="inlineStr">
        <is>
          <t>خیلی بالا</t>
        </is>
      </c>
      <c r="L232" s="9" t="inlineStr">
        <is>
          <t>باز</t>
        </is>
      </c>
      <c r="M232" s="9">
        <f>IF(D232="","",IF(L232="انجام شده","انجام شده",IF(L232="لغو شده","لغو شده",IF(G232&lt;TODAY(),"عقب‌افتاده",IF(G232=TODAY(),"امروز",IF(G232&lt;=TODAY()+7,"تا ۷ روز",IF(G232&lt;=TODAY()+15,"تا ۱۵ روز","آینده")))))))</f>
        <v/>
      </c>
      <c r="N232" s="9" t="inlineStr"/>
      <c r="O232" s="9" t="n">
        <v>0</v>
      </c>
      <c r="P232" s="10" t="n"/>
      <c r="Q232" s="9" t="inlineStr"/>
      <c r="R232" s="9" t="inlineStr">
        <is>
          <t>پیش‌فرض 1405</t>
        </is>
      </c>
      <c r="S232" s="9" t="inlineStr">
        <is>
          <t>T107</t>
        </is>
      </c>
      <c r="T232" s="9" t="inlineStr">
        <is>
          <t>بله</t>
        </is>
      </c>
    </row>
    <row r="233">
      <c r="A233" s="9" t="inlineStr">
        <is>
          <t>1405-0232</t>
        </is>
      </c>
      <c r="B233" s="9" t="inlineStr">
        <is>
          <t>رستگار صنعت پارس</t>
        </is>
      </c>
      <c r="C233" s="9" t="inlineStr">
        <is>
          <t>بایگانی</t>
        </is>
      </c>
      <c r="D233" s="9" t="inlineStr">
        <is>
          <t>بایگانی مدارک و اسناد ماه مرداد</t>
        </is>
      </c>
      <c r="E233" s="9" t="inlineStr">
        <is>
          <t>ماهانه</t>
        </is>
      </c>
      <c r="F233" s="9" t="inlineStr">
        <is>
          <t>مرداد</t>
        </is>
      </c>
      <c r="G233" s="10" t="n">
        <v>46271</v>
      </c>
      <c r="H233" s="9" t="inlineStr">
        <is>
          <t>1405/06/15</t>
        </is>
      </c>
      <c r="I233" s="9" t="n">
        <v>3</v>
      </c>
      <c r="J233" s="10">
        <f>IF(G233="","",G233-I233)</f>
        <v/>
      </c>
      <c r="K233" s="9" t="inlineStr">
        <is>
          <t>متوسط</t>
        </is>
      </c>
      <c r="L233" s="9" t="inlineStr">
        <is>
          <t>باز</t>
        </is>
      </c>
      <c r="M233" s="9">
        <f>IF(D233="","",IF(L233="انجام شده","انجام شده",IF(L233="لغو شده","لغو شده",IF(G233&lt;TODAY(),"عقب‌افتاده",IF(G233=TODAY(),"امروز",IF(G233&lt;=TODAY()+7,"تا ۷ روز",IF(G233&lt;=TODAY()+15,"تا ۱۵ روز","آینده")))))))</f>
        <v/>
      </c>
      <c r="N233" s="9" t="inlineStr"/>
      <c r="O233" s="9" t="n">
        <v>0</v>
      </c>
      <c r="P233" s="10" t="n"/>
      <c r="Q233" s="9" t="inlineStr"/>
      <c r="R233" s="9" t="inlineStr">
        <is>
          <t>پیش‌فرض 1405</t>
        </is>
      </c>
      <c r="S233" s="9" t="inlineStr">
        <is>
          <t>T108</t>
        </is>
      </c>
      <c r="T233" s="9" t="inlineStr">
        <is>
          <t>بله</t>
        </is>
      </c>
    </row>
    <row r="234">
      <c r="A234" s="9" t="inlineStr">
        <is>
          <t>1405-0233</t>
        </is>
      </c>
      <c r="B234" s="9" t="inlineStr">
        <is>
          <t>رستگار صنعت پارس</t>
        </is>
      </c>
      <c r="C234" s="9" t="inlineStr">
        <is>
          <t>پایان ماه</t>
        </is>
      </c>
      <c r="D234" s="9" t="inlineStr">
        <is>
          <t>مغایرت‌گیری بانکی ماه شهریور</t>
        </is>
      </c>
      <c r="E234" s="9" t="inlineStr">
        <is>
          <t>ماهانه</t>
        </is>
      </c>
      <c r="F234" s="9" t="inlineStr">
        <is>
          <t>شهریور</t>
        </is>
      </c>
      <c r="G234" s="10" t="n">
        <v>46292</v>
      </c>
      <c r="H234" s="9" t="inlineStr">
        <is>
          <t>1405/07/05</t>
        </is>
      </c>
      <c r="I234" s="9" t="n">
        <v>5</v>
      </c>
      <c r="J234" s="10">
        <f>IF(G234="","",G234-I234)</f>
        <v/>
      </c>
      <c r="K234" s="9" t="inlineStr">
        <is>
          <t>بالا</t>
        </is>
      </c>
      <c r="L234" s="9" t="inlineStr">
        <is>
          <t>باز</t>
        </is>
      </c>
      <c r="M234" s="9">
        <f>IF(D234="","",IF(L234="انجام شده","انجام شده",IF(L234="لغو شده","لغو شده",IF(G234&lt;TODAY(),"عقب‌افتاده",IF(G234=TODAY(),"امروز",IF(G234&lt;=TODAY()+7,"تا ۷ روز",IF(G234&lt;=TODAY()+15,"تا ۱۵ روز","آینده")))))))</f>
        <v/>
      </c>
      <c r="N234" s="9" t="inlineStr"/>
      <c r="O234" s="9" t="n">
        <v>0</v>
      </c>
      <c r="P234" s="10" t="n"/>
      <c r="Q234" s="9" t="inlineStr"/>
      <c r="R234" s="9" t="inlineStr">
        <is>
          <t>پیش‌فرض 1405</t>
        </is>
      </c>
      <c r="S234" s="9" t="inlineStr">
        <is>
          <t>T101</t>
        </is>
      </c>
      <c r="T234" s="9" t="inlineStr">
        <is>
          <t>بله</t>
        </is>
      </c>
    </row>
    <row r="235">
      <c r="A235" s="9" t="inlineStr">
        <is>
          <t>1405-0234</t>
        </is>
      </c>
      <c r="B235" s="9" t="inlineStr">
        <is>
          <t>رستگار صنعت پارس</t>
        </is>
      </c>
      <c r="C235" s="9" t="inlineStr">
        <is>
          <t>پایان ماه</t>
        </is>
      </c>
      <c r="D235" s="9" t="inlineStr">
        <is>
          <t>کنترل نهایی اسناد ماه شهریور</t>
        </is>
      </c>
      <c r="E235" s="9" t="inlineStr">
        <is>
          <t>ماهانه</t>
        </is>
      </c>
      <c r="F235" s="9" t="inlineStr">
        <is>
          <t>شهریور</t>
        </is>
      </c>
      <c r="G235" s="10" t="n">
        <v>46294</v>
      </c>
      <c r="H235" s="9" t="inlineStr">
        <is>
          <t>1405/07/07</t>
        </is>
      </c>
      <c r="I235" s="9" t="n">
        <v>5</v>
      </c>
      <c r="J235" s="10">
        <f>IF(G235="","",G235-I235)</f>
        <v/>
      </c>
      <c r="K235" s="9" t="inlineStr">
        <is>
          <t>بالا</t>
        </is>
      </c>
      <c r="L235" s="9" t="inlineStr">
        <is>
          <t>باز</t>
        </is>
      </c>
      <c r="M235" s="9">
        <f>IF(D235="","",IF(L235="انجام شده","انجام شده",IF(L235="لغو شده","لغو شده",IF(G235&lt;TODAY(),"عقب‌افتاده",IF(G235=TODAY(),"امروز",IF(G235&lt;=TODAY()+7,"تا ۷ روز",IF(G235&lt;=TODAY()+15,"تا ۱۵ روز","آینده")))))))</f>
        <v/>
      </c>
      <c r="N235" s="9" t="inlineStr"/>
      <c r="O235" s="9" t="n">
        <v>0</v>
      </c>
      <c r="P235" s="10" t="n"/>
      <c r="Q235" s="9" t="inlineStr"/>
      <c r="R235" s="9" t="inlineStr">
        <is>
          <t>پیش‌فرض 1405</t>
        </is>
      </c>
      <c r="S235" s="9" t="inlineStr">
        <is>
          <t>T102</t>
        </is>
      </c>
      <c r="T235" s="9" t="inlineStr">
        <is>
          <t>بله</t>
        </is>
      </c>
    </row>
    <row r="236">
      <c r="A236" s="9" t="inlineStr">
        <is>
          <t>1405-0235</t>
        </is>
      </c>
      <c r="B236" s="9" t="inlineStr">
        <is>
          <t>رستگار صنعت پارس</t>
        </is>
      </c>
      <c r="C236" s="9" t="inlineStr">
        <is>
          <t>پایان ماه</t>
        </is>
      </c>
      <c r="D236" s="9" t="inlineStr">
        <is>
          <t>بستن حساب‌های ماه شهریور و کنترل مانده‌ها</t>
        </is>
      </c>
      <c r="E236" s="9" t="inlineStr">
        <is>
          <t>ماهانه</t>
        </is>
      </c>
      <c r="F236" s="9" t="inlineStr">
        <is>
          <t>شهریور</t>
        </is>
      </c>
      <c r="G236" s="10" t="n">
        <v>46297</v>
      </c>
      <c r="H236" s="9" t="inlineStr">
        <is>
          <t>1405/07/10</t>
        </is>
      </c>
      <c r="I236" s="9" t="n">
        <v>7</v>
      </c>
      <c r="J236" s="10">
        <f>IF(G236="","",G236-I236)</f>
        <v/>
      </c>
      <c r="K236" s="9" t="inlineStr">
        <is>
          <t>بالا</t>
        </is>
      </c>
      <c r="L236" s="9" t="inlineStr">
        <is>
          <t>باز</t>
        </is>
      </c>
      <c r="M236" s="9">
        <f>IF(D236="","",IF(L236="انجام شده","انجام شده",IF(L236="لغو شده","لغو شده",IF(G236&lt;TODAY(),"عقب‌افتاده",IF(G236=TODAY(),"امروز",IF(G236&lt;=TODAY()+7,"تا ۷ روز",IF(G236&lt;=TODAY()+15,"تا ۱۵ روز","آینده")))))))</f>
        <v/>
      </c>
      <c r="N236" s="9" t="inlineStr"/>
      <c r="O236" s="9" t="n">
        <v>0</v>
      </c>
      <c r="P236" s="10" t="n"/>
      <c r="Q236" s="9" t="inlineStr"/>
      <c r="R236" s="9" t="inlineStr">
        <is>
          <t>پیش‌فرض 1405</t>
        </is>
      </c>
      <c r="S236" s="9" t="inlineStr">
        <is>
          <t>T103</t>
        </is>
      </c>
      <c r="T236" s="9" t="inlineStr">
        <is>
          <t>بله</t>
        </is>
      </c>
    </row>
    <row r="237">
      <c r="A237" s="9" t="inlineStr">
        <is>
          <t>1405-0236</t>
        </is>
      </c>
      <c r="B237" s="9" t="inlineStr">
        <is>
          <t>رستگار صنعت پارس</t>
        </is>
      </c>
      <c r="C237" s="9" t="inlineStr">
        <is>
          <t>گزارش</t>
        </is>
      </c>
      <c r="D237" s="9" t="inlineStr">
        <is>
          <t>تهیه گزارش مدیریت ماه شهریور</t>
        </is>
      </c>
      <c r="E237" s="9" t="inlineStr">
        <is>
          <t>ماهانه</t>
        </is>
      </c>
      <c r="F237" s="9" t="inlineStr">
        <is>
          <t>شهریور</t>
        </is>
      </c>
      <c r="G237" s="10" t="n">
        <v>46297</v>
      </c>
      <c r="H237" s="9" t="inlineStr">
        <is>
          <t>1405/07/10</t>
        </is>
      </c>
      <c r="I237" s="9" t="n">
        <v>5</v>
      </c>
      <c r="J237" s="10">
        <f>IF(G237="","",G237-I237)</f>
        <v/>
      </c>
      <c r="K237" s="9" t="inlineStr">
        <is>
          <t>متوسط</t>
        </is>
      </c>
      <c r="L237" s="9" t="inlineStr">
        <is>
          <t>باز</t>
        </is>
      </c>
      <c r="M237" s="9">
        <f>IF(D237="","",IF(L237="انجام شده","انجام شده",IF(L237="لغو شده","لغو شده",IF(G237&lt;TODAY(),"عقب‌افتاده",IF(G237=TODAY(),"امروز",IF(G237&lt;=TODAY()+7,"تا ۷ روز",IF(G237&lt;=TODAY()+15,"تا ۱۵ روز","آینده")))))))</f>
        <v/>
      </c>
      <c r="N237" s="9" t="inlineStr"/>
      <c r="O237" s="9" t="n">
        <v>0</v>
      </c>
      <c r="P237" s="10" t="n"/>
      <c r="Q237" s="9" t="inlineStr"/>
      <c r="R237" s="9" t="inlineStr">
        <is>
          <t>پیش‌فرض 1405</t>
        </is>
      </c>
      <c r="S237" s="9" t="inlineStr">
        <is>
          <t>T104</t>
        </is>
      </c>
      <c r="T237" s="9" t="inlineStr">
        <is>
          <t>بله</t>
        </is>
      </c>
    </row>
    <row r="238">
      <c r="A238" s="9" t="inlineStr">
        <is>
          <t>1405-0237</t>
        </is>
      </c>
      <c r="B238" s="9" t="inlineStr">
        <is>
          <t>رستگار صنعت پارس</t>
        </is>
      </c>
      <c r="C238" s="9" t="inlineStr">
        <is>
          <t>حقوق و دستمزد</t>
        </is>
      </c>
      <c r="D238" s="9" t="inlineStr">
        <is>
          <t>محاسبه حقوق و دستمزد ماه شهریور</t>
        </is>
      </c>
      <c r="E238" s="9" t="inlineStr">
        <is>
          <t>ماهانه</t>
        </is>
      </c>
      <c r="F238" s="9" t="inlineStr">
        <is>
          <t>شهریور</t>
        </is>
      </c>
      <c r="G238" s="10" t="n">
        <v>46284</v>
      </c>
      <c r="H238" s="9" t="inlineStr">
        <is>
          <t>1405/06/28</t>
        </is>
      </c>
      <c r="I238" s="9" t="n">
        <v>5</v>
      </c>
      <c r="J238" s="10">
        <f>IF(G238="","",G238-I238)</f>
        <v/>
      </c>
      <c r="K238" s="9" t="inlineStr">
        <is>
          <t>بالا</t>
        </is>
      </c>
      <c r="L238" s="9" t="inlineStr">
        <is>
          <t>باز</t>
        </is>
      </c>
      <c r="M238" s="9">
        <f>IF(D238="","",IF(L238="انجام شده","انجام شده",IF(L238="لغو شده","لغو شده",IF(G238&lt;TODAY(),"عقب‌افتاده",IF(G238=TODAY(),"امروز",IF(G238&lt;=TODAY()+7,"تا ۷ روز",IF(G238&lt;=TODAY()+15,"تا ۱۵ روز","آینده")))))))</f>
        <v/>
      </c>
      <c r="N238" s="9" t="inlineStr"/>
      <c r="O238" s="9" t="n">
        <v>0</v>
      </c>
      <c r="P238" s="10" t="n"/>
      <c r="Q238" s="9" t="inlineStr"/>
      <c r="R238" s="9" t="inlineStr">
        <is>
          <t>پیش‌فرض 1405</t>
        </is>
      </c>
      <c r="S238" s="9" t="inlineStr">
        <is>
          <t>T105</t>
        </is>
      </c>
      <c r="T238" s="9" t="inlineStr">
        <is>
          <t>بله</t>
        </is>
      </c>
    </row>
    <row r="239">
      <c r="A239" s="9" t="inlineStr">
        <is>
          <t>1405-0238</t>
        </is>
      </c>
      <c r="B239" s="9" t="inlineStr">
        <is>
          <t>رستگار صنعت پارس</t>
        </is>
      </c>
      <c r="C239" s="9" t="inlineStr">
        <is>
          <t>حقوق و دستمزد</t>
        </is>
      </c>
      <c r="D239" s="9" t="inlineStr">
        <is>
          <t>ارسال/پرداخت لیست بیمه ماه شهریور</t>
        </is>
      </c>
      <c r="E239" s="9" t="inlineStr">
        <is>
          <t>ماهانه</t>
        </is>
      </c>
      <c r="F239" s="9" t="inlineStr">
        <is>
          <t>شهریور</t>
        </is>
      </c>
      <c r="G239" s="10" t="n">
        <v>46317</v>
      </c>
      <c r="H239" s="9" t="inlineStr">
        <is>
          <t>1405/07/30</t>
        </is>
      </c>
      <c r="I239" s="9" t="n">
        <v>7</v>
      </c>
      <c r="J239" s="10">
        <f>IF(G239="","",G239-I239)</f>
        <v/>
      </c>
      <c r="K239" s="9" t="inlineStr">
        <is>
          <t>خیلی بالا</t>
        </is>
      </c>
      <c r="L239" s="9" t="inlineStr">
        <is>
          <t>باز</t>
        </is>
      </c>
      <c r="M239" s="9">
        <f>IF(D239="","",IF(L239="انجام شده","انجام شده",IF(L239="لغو شده","لغو شده",IF(G239&lt;TODAY(),"عقب‌افتاده",IF(G239=TODAY(),"امروز",IF(G239&lt;=TODAY()+7,"تا ۷ روز",IF(G239&lt;=TODAY()+15,"تا ۱۵ روز","آینده")))))))</f>
        <v/>
      </c>
      <c r="N239" s="9" t="inlineStr"/>
      <c r="O239" s="9" t="n">
        <v>0</v>
      </c>
      <c r="P239" s="10" t="n"/>
      <c r="Q239" s="9" t="inlineStr"/>
      <c r="R239" s="9" t="inlineStr">
        <is>
          <t>پیش‌فرض 1405</t>
        </is>
      </c>
      <c r="S239" s="9" t="inlineStr">
        <is>
          <t>T106</t>
        </is>
      </c>
      <c r="T239" s="9" t="inlineStr">
        <is>
          <t>بله</t>
        </is>
      </c>
    </row>
    <row r="240">
      <c r="A240" s="9" t="inlineStr">
        <is>
          <t>1405-0239</t>
        </is>
      </c>
      <c r="B240" s="9" t="inlineStr">
        <is>
          <t>رستگار صنعت پارس</t>
        </is>
      </c>
      <c r="C240" s="9" t="inlineStr">
        <is>
          <t>حقوق و دستمزد</t>
        </is>
      </c>
      <c r="D240" s="9" t="inlineStr">
        <is>
          <t>ارسال/پرداخت مالیات حقوق ماه شهریور</t>
        </is>
      </c>
      <c r="E240" s="9" t="inlineStr">
        <is>
          <t>ماهانه</t>
        </is>
      </c>
      <c r="F240" s="9" t="inlineStr">
        <is>
          <t>شهریور</t>
        </is>
      </c>
      <c r="G240" s="10" t="n">
        <v>46317</v>
      </c>
      <c r="H240" s="9" t="inlineStr">
        <is>
          <t>1405/07/30</t>
        </is>
      </c>
      <c r="I240" s="9" t="n">
        <v>7</v>
      </c>
      <c r="J240" s="10">
        <f>IF(G240="","",G240-I240)</f>
        <v/>
      </c>
      <c r="K240" s="9" t="inlineStr">
        <is>
          <t>خیلی بالا</t>
        </is>
      </c>
      <c r="L240" s="9" t="inlineStr">
        <is>
          <t>باز</t>
        </is>
      </c>
      <c r="M240" s="9">
        <f>IF(D240="","",IF(L240="انجام شده","انجام شده",IF(L240="لغو شده","لغو شده",IF(G240&lt;TODAY(),"عقب‌افتاده",IF(G240=TODAY(),"امروز",IF(G240&lt;=TODAY()+7,"تا ۷ روز",IF(G240&lt;=TODAY()+15,"تا ۱۵ روز","آینده")))))))</f>
        <v/>
      </c>
      <c r="N240" s="9" t="inlineStr"/>
      <c r="O240" s="9" t="n">
        <v>0</v>
      </c>
      <c r="P240" s="10" t="n"/>
      <c r="Q240" s="9" t="inlineStr"/>
      <c r="R240" s="9" t="inlineStr">
        <is>
          <t>پیش‌فرض 1405</t>
        </is>
      </c>
      <c r="S240" s="9" t="inlineStr">
        <is>
          <t>T107</t>
        </is>
      </c>
      <c r="T240" s="9" t="inlineStr">
        <is>
          <t>بله</t>
        </is>
      </c>
    </row>
    <row r="241">
      <c r="A241" s="9" t="inlineStr">
        <is>
          <t>1405-0240</t>
        </is>
      </c>
      <c r="B241" s="9" t="inlineStr">
        <is>
          <t>رستگار صنعت پارس</t>
        </is>
      </c>
      <c r="C241" s="9" t="inlineStr">
        <is>
          <t>بایگانی</t>
        </is>
      </c>
      <c r="D241" s="9" t="inlineStr">
        <is>
          <t>بایگانی مدارک و اسناد ماه شهریور</t>
        </is>
      </c>
      <c r="E241" s="9" t="inlineStr">
        <is>
          <t>ماهانه</t>
        </is>
      </c>
      <c r="F241" s="9" t="inlineStr">
        <is>
          <t>شهریور</t>
        </is>
      </c>
      <c r="G241" s="10" t="n">
        <v>46302</v>
      </c>
      <c r="H241" s="9" t="inlineStr">
        <is>
          <t>1405/07/15</t>
        </is>
      </c>
      <c r="I241" s="9" t="n">
        <v>3</v>
      </c>
      <c r="J241" s="10">
        <f>IF(G241="","",G241-I241)</f>
        <v/>
      </c>
      <c r="K241" s="9" t="inlineStr">
        <is>
          <t>متوسط</t>
        </is>
      </c>
      <c r="L241" s="9" t="inlineStr">
        <is>
          <t>باز</t>
        </is>
      </c>
      <c r="M241" s="9">
        <f>IF(D241="","",IF(L241="انجام شده","انجام شده",IF(L241="لغو شده","لغو شده",IF(G241&lt;TODAY(),"عقب‌افتاده",IF(G241=TODAY(),"امروز",IF(G241&lt;=TODAY()+7,"تا ۷ روز",IF(G241&lt;=TODAY()+15,"تا ۱۵ روز","آینده")))))))</f>
        <v/>
      </c>
      <c r="N241" s="9" t="inlineStr"/>
      <c r="O241" s="9" t="n">
        <v>0</v>
      </c>
      <c r="P241" s="10" t="n"/>
      <c r="Q241" s="9" t="inlineStr"/>
      <c r="R241" s="9" t="inlineStr">
        <is>
          <t>پیش‌فرض 1405</t>
        </is>
      </c>
      <c r="S241" s="9" t="inlineStr">
        <is>
          <t>T108</t>
        </is>
      </c>
      <c r="T241" s="9" t="inlineStr">
        <is>
          <t>بله</t>
        </is>
      </c>
    </row>
    <row r="242">
      <c r="A242" s="9" t="inlineStr">
        <is>
          <t>1405-0241</t>
        </is>
      </c>
      <c r="B242" s="9" t="inlineStr">
        <is>
          <t>رستگار صنعت پارس</t>
        </is>
      </c>
      <c r="C242" s="9" t="inlineStr">
        <is>
          <t>پایان ماه</t>
        </is>
      </c>
      <c r="D242" s="9" t="inlineStr">
        <is>
          <t>مغایرت‌گیری بانکی ماه مهر</t>
        </is>
      </c>
      <c r="E242" s="9" t="inlineStr">
        <is>
          <t>ماهانه</t>
        </is>
      </c>
      <c r="F242" s="9" t="inlineStr">
        <is>
          <t>مهر</t>
        </is>
      </c>
      <c r="G242" s="10" t="n">
        <v>46322</v>
      </c>
      <c r="H242" s="9" t="inlineStr">
        <is>
          <t>1405/08/05</t>
        </is>
      </c>
      <c r="I242" s="9" t="n">
        <v>5</v>
      </c>
      <c r="J242" s="10">
        <f>IF(G242="","",G242-I242)</f>
        <v/>
      </c>
      <c r="K242" s="9" t="inlineStr">
        <is>
          <t>بالا</t>
        </is>
      </c>
      <c r="L242" s="9" t="inlineStr">
        <is>
          <t>باز</t>
        </is>
      </c>
      <c r="M242" s="9">
        <f>IF(D242="","",IF(L242="انجام شده","انجام شده",IF(L242="لغو شده","لغو شده",IF(G242&lt;TODAY(),"عقب‌افتاده",IF(G242=TODAY(),"امروز",IF(G242&lt;=TODAY()+7,"تا ۷ روز",IF(G242&lt;=TODAY()+15,"تا ۱۵ روز","آینده")))))))</f>
        <v/>
      </c>
      <c r="N242" s="9" t="inlineStr"/>
      <c r="O242" s="9" t="n">
        <v>0</v>
      </c>
      <c r="P242" s="10" t="n"/>
      <c r="Q242" s="9" t="inlineStr"/>
      <c r="R242" s="9" t="inlineStr">
        <is>
          <t>پیش‌فرض 1405</t>
        </is>
      </c>
      <c r="S242" s="9" t="inlineStr">
        <is>
          <t>T101</t>
        </is>
      </c>
      <c r="T242" s="9" t="inlineStr">
        <is>
          <t>بله</t>
        </is>
      </c>
    </row>
    <row r="243">
      <c r="A243" s="9" t="inlineStr">
        <is>
          <t>1405-0242</t>
        </is>
      </c>
      <c r="B243" s="9" t="inlineStr">
        <is>
          <t>رستگار صنعت پارس</t>
        </is>
      </c>
      <c r="C243" s="9" t="inlineStr">
        <is>
          <t>پایان ماه</t>
        </is>
      </c>
      <c r="D243" s="9" t="inlineStr">
        <is>
          <t>کنترل نهایی اسناد ماه مهر</t>
        </is>
      </c>
      <c r="E243" s="9" t="inlineStr">
        <is>
          <t>ماهانه</t>
        </is>
      </c>
      <c r="F243" s="9" t="inlineStr">
        <is>
          <t>مهر</t>
        </is>
      </c>
      <c r="G243" s="10" t="n">
        <v>46324</v>
      </c>
      <c r="H243" s="9" t="inlineStr">
        <is>
          <t>1405/08/07</t>
        </is>
      </c>
      <c r="I243" s="9" t="n">
        <v>5</v>
      </c>
      <c r="J243" s="10">
        <f>IF(G243="","",G243-I243)</f>
        <v/>
      </c>
      <c r="K243" s="9" t="inlineStr">
        <is>
          <t>بالا</t>
        </is>
      </c>
      <c r="L243" s="9" t="inlineStr">
        <is>
          <t>باز</t>
        </is>
      </c>
      <c r="M243" s="9">
        <f>IF(D243="","",IF(L243="انجام شده","انجام شده",IF(L243="لغو شده","لغو شده",IF(G243&lt;TODAY(),"عقب‌افتاده",IF(G243=TODAY(),"امروز",IF(G243&lt;=TODAY()+7,"تا ۷ روز",IF(G243&lt;=TODAY()+15,"تا ۱۵ روز","آینده")))))))</f>
        <v/>
      </c>
      <c r="N243" s="9" t="inlineStr"/>
      <c r="O243" s="9" t="n">
        <v>0</v>
      </c>
      <c r="P243" s="10" t="n"/>
      <c r="Q243" s="9" t="inlineStr"/>
      <c r="R243" s="9" t="inlineStr">
        <is>
          <t>پیش‌فرض 1405</t>
        </is>
      </c>
      <c r="S243" s="9" t="inlineStr">
        <is>
          <t>T102</t>
        </is>
      </c>
      <c r="T243" s="9" t="inlineStr">
        <is>
          <t>بله</t>
        </is>
      </c>
    </row>
    <row r="244">
      <c r="A244" s="9" t="inlineStr">
        <is>
          <t>1405-0243</t>
        </is>
      </c>
      <c r="B244" s="9" t="inlineStr">
        <is>
          <t>رستگار صنعت پارس</t>
        </is>
      </c>
      <c r="C244" s="9" t="inlineStr">
        <is>
          <t>پایان ماه</t>
        </is>
      </c>
      <c r="D244" s="9" t="inlineStr">
        <is>
          <t>بستن حساب‌های ماه مهر و کنترل مانده‌ها</t>
        </is>
      </c>
      <c r="E244" s="9" t="inlineStr">
        <is>
          <t>ماهانه</t>
        </is>
      </c>
      <c r="F244" s="9" t="inlineStr">
        <is>
          <t>مهر</t>
        </is>
      </c>
      <c r="G244" s="10" t="n">
        <v>46327</v>
      </c>
      <c r="H244" s="9" t="inlineStr">
        <is>
          <t>1405/08/10</t>
        </is>
      </c>
      <c r="I244" s="9" t="n">
        <v>7</v>
      </c>
      <c r="J244" s="10">
        <f>IF(G244="","",G244-I244)</f>
        <v/>
      </c>
      <c r="K244" s="9" t="inlineStr">
        <is>
          <t>بالا</t>
        </is>
      </c>
      <c r="L244" s="9" t="inlineStr">
        <is>
          <t>باز</t>
        </is>
      </c>
      <c r="M244" s="9">
        <f>IF(D244="","",IF(L244="انجام شده","انجام شده",IF(L244="لغو شده","لغو شده",IF(G244&lt;TODAY(),"عقب‌افتاده",IF(G244=TODAY(),"امروز",IF(G244&lt;=TODAY()+7,"تا ۷ روز",IF(G244&lt;=TODAY()+15,"تا ۱۵ روز","آینده")))))))</f>
        <v/>
      </c>
      <c r="N244" s="9" t="inlineStr"/>
      <c r="O244" s="9" t="n">
        <v>0</v>
      </c>
      <c r="P244" s="10" t="n"/>
      <c r="Q244" s="9" t="inlineStr"/>
      <c r="R244" s="9" t="inlineStr">
        <is>
          <t>پیش‌فرض 1405</t>
        </is>
      </c>
      <c r="S244" s="9" t="inlineStr">
        <is>
          <t>T103</t>
        </is>
      </c>
      <c r="T244" s="9" t="inlineStr">
        <is>
          <t>بله</t>
        </is>
      </c>
    </row>
    <row r="245">
      <c r="A245" s="9" t="inlineStr">
        <is>
          <t>1405-0244</t>
        </is>
      </c>
      <c r="B245" s="9" t="inlineStr">
        <is>
          <t>رستگار صنعت پارس</t>
        </is>
      </c>
      <c r="C245" s="9" t="inlineStr">
        <is>
          <t>گزارش</t>
        </is>
      </c>
      <c r="D245" s="9" t="inlineStr">
        <is>
          <t>تهیه گزارش مدیریت ماه مهر</t>
        </is>
      </c>
      <c r="E245" s="9" t="inlineStr">
        <is>
          <t>ماهانه</t>
        </is>
      </c>
      <c r="F245" s="9" t="inlineStr">
        <is>
          <t>مهر</t>
        </is>
      </c>
      <c r="G245" s="10" t="n">
        <v>46327</v>
      </c>
      <c r="H245" s="9" t="inlineStr">
        <is>
          <t>1405/08/10</t>
        </is>
      </c>
      <c r="I245" s="9" t="n">
        <v>5</v>
      </c>
      <c r="J245" s="10">
        <f>IF(G245="","",G245-I245)</f>
        <v/>
      </c>
      <c r="K245" s="9" t="inlineStr">
        <is>
          <t>متوسط</t>
        </is>
      </c>
      <c r="L245" s="9" t="inlineStr">
        <is>
          <t>باز</t>
        </is>
      </c>
      <c r="M245" s="9">
        <f>IF(D245="","",IF(L245="انجام شده","انجام شده",IF(L245="لغو شده","لغو شده",IF(G245&lt;TODAY(),"عقب‌افتاده",IF(G245=TODAY(),"امروز",IF(G245&lt;=TODAY()+7,"تا ۷ روز",IF(G245&lt;=TODAY()+15,"تا ۱۵ روز","آینده")))))))</f>
        <v/>
      </c>
      <c r="N245" s="9" t="inlineStr"/>
      <c r="O245" s="9" t="n">
        <v>0</v>
      </c>
      <c r="P245" s="10" t="n"/>
      <c r="Q245" s="9" t="inlineStr"/>
      <c r="R245" s="9" t="inlineStr">
        <is>
          <t>پیش‌فرض 1405</t>
        </is>
      </c>
      <c r="S245" s="9" t="inlineStr">
        <is>
          <t>T104</t>
        </is>
      </c>
      <c r="T245" s="9" t="inlineStr">
        <is>
          <t>بله</t>
        </is>
      </c>
    </row>
    <row r="246">
      <c r="A246" s="9" t="inlineStr">
        <is>
          <t>1405-0245</t>
        </is>
      </c>
      <c r="B246" s="9" t="inlineStr">
        <is>
          <t>رستگار صنعت پارس</t>
        </is>
      </c>
      <c r="C246" s="9" t="inlineStr">
        <is>
          <t>حقوق و دستمزد</t>
        </is>
      </c>
      <c r="D246" s="9" t="inlineStr">
        <is>
          <t>محاسبه حقوق و دستمزد ماه مهر</t>
        </is>
      </c>
      <c r="E246" s="9" t="inlineStr">
        <is>
          <t>ماهانه</t>
        </is>
      </c>
      <c r="F246" s="9" t="inlineStr">
        <is>
          <t>مهر</t>
        </is>
      </c>
      <c r="G246" s="10" t="n">
        <v>46315</v>
      </c>
      <c r="H246" s="9" t="inlineStr">
        <is>
          <t>1405/07/28</t>
        </is>
      </c>
      <c r="I246" s="9" t="n">
        <v>5</v>
      </c>
      <c r="J246" s="10">
        <f>IF(G246="","",G246-I246)</f>
        <v/>
      </c>
      <c r="K246" s="9" t="inlineStr">
        <is>
          <t>بالا</t>
        </is>
      </c>
      <c r="L246" s="9" t="inlineStr">
        <is>
          <t>باز</t>
        </is>
      </c>
      <c r="M246" s="9">
        <f>IF(D246="","",IF(L246="انجام شده","انجام شده",IF(L246="لغو شده","لغو شده",IF(G246&lt;TODAY(),"عقب‌افتاده",IF(G246=TODAY(),"امروز",IF(G246&lt;=TODAY()+7,"تا ۷ روز",IF(G246&lt;=TODAY()+15,"تا ۱۵ روز","آینده")))))))</f>
        <v/>
      </c>
      <c r="N246" s="9" t="inlineStr"/>
      <c r="O246" s="9" t="n">
        <v>0</v>
      </c>
      <c r="P246" s="10" t="n"/>
      <c r="Q246" s="9" t="inlineStr"/>
      <c r="R246" s="9" t="inlineStr">
        <is>
          <t>پیش‌فرض 1405</t>
        </is>
      </c>
      <c r="S246" s="9" t="inlineStr">
        <is>
          <t>T105</t>
        </is>
      </c>
      <c r="T246" s="9" t="inlineStr">
        <is>
          <t>بله</t>
        </is>
      </c>
    </row>
    <row r="247">
      <c r="A247" s="9" t="inlineStr">
        <is>
          <t>1405-0246</t>
        </is>
      </c>
      <c r="B247" s="9" t="inlineStr">
        <is>
          <t>رستگار صنعت پارس</t>
        </is>
      </c>
      <c r="C247" s="9" t="inlineStr">
        <is>
          <t>حقوق و دستمزد</t>
        </is>
      </c>
      <c r="D247" s="9" t="inlineStr">
        <is>
          <t>ارسال/پرداخت لیست بیمه ماه مهر</t>
        </is>
      </c>
      <c r="E247" s="9" t="inlineStr">
        <is>
          <t>ماهانه</t>
        </is>
      </c>
      <c r="F247" s="9" t="inlineStr">
        <is>
          <t>مهر</t>
        </is>
      </c>
      <c r="G247" s="10" t="n">
        <v>46347</v>
      </c>
      <c r="H247" s="9" t="inlineStr">
        <is>
          <t>1405/08/30</t>
        </is>
      </c>
      <c r="I247" s="9" t="n">
        <v>7</v>
      </c>
      <c r="J247" s="10">
        <f>IF(G247="","",G247-I247)</f>
        <v/>
      </c>
      <c r="K247" s="9" t="inlineStr">
        <is>
          <t>خیلی بالا</t>
        </is>
      </c>
      <c r="L247" s="9" t="inlineStr">
        <is>
          <t>باز</t>
        </is>
      </c>
      <c r="M247" s="9">
        <f>IF(D247="","",IF(L247="انجام شده","انجام شده",IF(L247="لغو شده","لغو شده",IF(G247&lt;TODAY(),"عقب‌افتاده",IF(G247=TODAY(),"امروز",IF(G247&lt;=TODAY()+7,"تا ۷ روز",IF(G247&lt;=TODAY()+15,"تا ۱۵ روز","آینده")))))))</f>
        <v/>
      </c>
      <c r="N247" s="9" t="inlineStr"/>
      <c r="O247" s="9" t="n">
        <v>0</v>
      </c>
      <c r="P247" s="10" t="n"/>
      <c r="Q247" s="9" t="inlineStr"/>
      <c r="R247" s="9" t="inlineStr">
        <is>
          <t>پیش‌فرض 1405</t>
        </is>
      </c>
      <c r="S247" s="9" t="inlineStr">
        <is>
          <t>T106</t>
        </is>
      </c>
      <c r="T247" s="9" t="inlineStr">
        <is>
          <t>بله</t>
        </is>
      </c>
    </row>
    <row r="248">
      <c r="A248" s="9" t="inlineStr">
        <is>
          <t>1405-0247</t>
        </is>
      </c>
      <c r="B248" s="9" t="inlineStr">
        <is>
          <t>رستگار صنعت پارس</t>
        </is>
      </c>
      <c r="C248" s="9" t="inlineStr">
        <is>
          <t>حقوق و دستمزد</t>
        </is>
      </c>
      <c r="D248" s="9" t="inlineStr">
        <is>
          <t>ارسال/پرداخت مالیات حقوق ماه مهر</t>
        </is>
      </c>
      <c r="E248" s="9" t="inlineStr">
        <is>
          <t>ماهانه</t>
        </is>
      </c>
      <c r="F248" s="9" t="inlineStr">
        <is>
          <t>مهر</t>
        </is>
      </c>
      <c r="G248" s="10" t="n">
        <v>46347</v>
      </c>
      <c r="H248" s="9" t="inlineStr">
        <is>
          <t>1405/08/30</t>
        </is>
      </c>
      <c r="I248" s="9" t="n">
        <v>7</v>
      </c>
      <c r="J248" s="10">
        <f>IF(G248="","",G248-I248)</f>
        <v/>
      </c>
      <c r="K248" s="9" t="inlineStr">
        <is>
          <t>خیلی بالا</t>
        </is>
      </c>
      <c r="L248" s="9" t="inlineStr">
        <is>
          <t>باز</t>
        </is>
      </c>
      <c r="M248" s="9">
        <f>IF(D248="","",IF(L248="انجام شده","انجام شده",IF(L248="لغو شده","لغو شده",IF(G248&lt;TODAY(),"عقب‌افتاده",IF(G248=TODAY(),"امروز",IF(G248&lt;=TODAY()+7,"تا ۷ روز",IF(G248&lt;=TODAY()+15,"تا ۱۵ روز","آینده")))))))</f>
        <v/>
      </c>
      <c r="N248" s="9" t="inlineStr"/>
      <c r="O248" s="9" t="n">
        <v>0</v>
      </c>
      <c r="P248" s="10" t="n"/>
      <c r="Q248" s="9" t="inlineStr"/>
      <c r="R248" s="9" t="inlineStr">
        <is>
          <t>پیش‌فرض 1405</t>
        </is>
      </c>
      <c r="S248" s="9" t="inlineStr">
        <is>
          <t>T107</t>
        </is>
      </c>
      <c r="T248" s="9" t="inlineStr">
        <is>
          <t>بله</t>
        </is>
      </c>
    </row>
    <row r="249">
      <c r="A249" s="9" t="inlineStr">
        <is>
          <t>1405-0248</t>
        </is>
      </c>
      <c r="B249" s="9" t="inlineStr">
        <is>
          <t>رستگار صنعت پارس</t>
        </is>
      </c>
      <c r="C249" s="9" t="inlineStr">
        <is>
          <t>بایگانی</t>
        </is>
      </c>
      <c r="D249" s="9" t="inlineStr">
        <is>
          <t>بایگانی مدارک و اسناد ماه مهر</t>
        </is>
      </c>
      <c r="E249" s="9" t="inlineStr">
        <is>
          <t>ماهانه</t>
        </is>
      </c>
      <c r="F249" s="9" t="inlineStr">
        <is>
          <t>مهر</t>
        </is>
      </c>
      <c r="G249" s="10" t="n">
        <v>46332</v>
      </c>
      <c r="H249" s="9" t="inlineStr">
        <is>
          <t>1405/08/15</t>
        </is>
      </c>
      <c r="I249" s="9" t="n">
        <v>3</v>
      </c>
      <c r="J249" s="10">
        <f>IF(G249="","",G249-I249)</f>
        <v/>
      </c>
      <c r="K249" s="9" t="inlineStr">
        <is>
          <t>متوسط</t>
        </is>
      </c>
      <c r="L249" s="9" t="inlineStr">
        <is>
          <t>باز</t>
        </is>
      </c>
      <c r="M249" s="9">
        <f>IF(D249="","",IF(L249="انجام شده","انجام شده",IF(L249="لغو شده","لغو شده",IF(G249&lt;TODAY(),"عقب‌افتاده",IF(G249=TODAY(),"امروز",IF(G249&lt;=TODAY()+7,"تا ۷ روز",IF(G249&lt;=TODAY()+15,"تا ۱۵ روز","آینده")))))))</f>
        <v/>
      </c>
      <c r="N249" s="9" t="inlineStr"/>
      <c r="O249" s="9" t="n">
        <v>0</v>
      </c>
      <c r="P249" s="10" t="n"/>
      <c r="Q249" s="9" t="inlineStr"/>
      <c r="R249" s="9" t="inlineStr">
        <is>
          <t>پیش‌فرض 1405</t>
        </is>
      </c>
      <c r="S249" s="9" t="inlineStr">
        <is>
          <t>T108</t>
        </is>
      </c>
      <c r="T249" s="9" t="inlineStr">
        <is>
          <t>بله</t>
        </is>
      </c>
    </row>
    <row r="250">
      <c r="A250" s="9" t="inlineStr">
        <is>
          <t>1405-0249</t>
        </is>
      </c>
      <c r="B250" s="9" t="inlineStr">
        <is>
          <t>رستگار صنعت پارس</t>
        </is>
      </c>
      <c r="C250" s="9" t="inlineStr">
        <is>
          <t>پایان ماه</t>
        </is>
      </c>
      <c r="D250" s="9" t="inlineStr">
        <is>
          <t>مغایرت‌گیری بانکی ماه آبان</t>
        </is>
      </c>
      <c r="E250" s="9" t="inlineStr">
        <is>
          <t>ماهانه</t>
        </is>
      </c>
      <c r="F250" s="9" t="inlineStr">
        <is>
          <t>آبان</t>
        </is>
      </c>
      <c r="G250" s="10" t="n">
        <v>46352</v>
      </c>
      <c r="H250" s="9" t="inlineStr">
        <is>
          <t>1405/09/05</t>
        </is>
      </c>
      <c r="I250" s="9" t="n">
        <v>5</v>
      </c>
      <c r="J250" s="10">
        <f>IF(G250="","",G250-I250)</f>
        <v/>
      </c>
      <c r="K250" s="9" t="inlineStr">
        <is>
          <t>بالا</t>
        </is>
      </c>
      <c r="L250" s="9" t="inlineStr">
        <is>
          <t>باز</t>
        </is>
      </c>
      <c r="M250" s="9">
        <f>IF(D250="","",IF(L250="انجام شده","انجام شده",IF(L250="لغو شده","لغو شده",IF(G250&lt;TODAY(),"عقب‌افتاده",IF(G250=TODAY(),"امروز",IF(G250&lt;=TODAY()+7,"تا ۷ روز",IF(G250&lt;=TODAY()+15,"تا ۱۵ روز","آینده")))))))</f>
        <v/>
      </c>
      <c r="N250" s="9" t="inlineStr"/>
      <c r="O250" s="9" t="n">
        <v>0</v>
      </c>
      <c r="P250" s="10" t="n"/>
      <c r="Q250" s="9" t="inlineStr"/>
      <c r="R250" s="9" t="inlineStr">
        <is>
          <t>پیش‌فرض 1405</t>
        </is>
      </c>
      <c r="S250" s="9" t="inlineStr">
        <is>
          <t>T101</t>
        </is>
      </c>
      <c r="T250" s="9" t="inlineStr">
        <is>
          <t>بله</t>
        </is>
      </c>
    </row>
    <row r="251">
      <c r="A251" s="9" t="inlineStr">
        <is>
          <t>1405-0250</t>
        </is>
      </c>
      <c r="B251" s="9" t="inlineStr">
        <is>
          <t>رستگار صنعت پارس</t>
        </is>
      </c>
      <c r="C251" s="9" t="inlineStr">
        <is>
          <t>پایان ماه</t>
        </is>
      </c>
      <c r="D251" s="9" t="inlineStr">
        <is>
          <t>کنترل نهایی اسناد ماه آبان</t>
        </is>
      </c>
      <c r="E251" s="9" t="inlineStr">
        <is>
          <t>ماهانه</t>
        </is>
      </c>
      <c r="F251" s="9" t="inlineStr">
        <is>
          <t>آبان</t>
        </is>
      </c>
      <c r="G251" s="10" t="n">
        <v>46354</v>
      </c>
      <c r="H251" s="9" t="inlineStr">
        <is>
          <t>1405/09/07</t>
        </is>
      </c>
      <c r="I251" s="9" t="n">
        <v>5</v>
      </c>
      <c r="J251" s="10">
        <f>IF(G251="","",G251-I251)</f>
        <v/>
      </c>
      <c r="K251" s="9" t="inlineStr">
        <is>
          <t>بالا</t>
        </is>
      </c>
      <c r="L251" s="9" t="inlineStr">
        <is>
          <t>باز</t>
        </is>
      </c>
      <c r="M251" s="9">
        <f>IF(D251="","",IF(L251="انجام شده","انجام شده",IF(L251="لغو شده","لغو شده",IF(G251&lt;TODAY(),"عقب‌افتاده",IF(G251=TODAY(),"امروز",IF(G251&lt;=TODAY()+7,"تا ۷ روز",IF(G251&lt;=TODAY()+15,"تا ۱۵ روز","آینده")))))))</f>
        <v/>
      </c>
      <c r="N251" s="9" t="inlineStr"/>
      <c r="O251" s="9" t="n">
        <v>0</v>
      </c>
      <c r="P251" s="10" t="n"/>
      <c r="Q251" s="9" t="inlineStr"/>
      <c r="R251" s="9" t="inlineStr">
        <is>
          <t>پیش‌فرض 1405</t>
        </is>
      </c>
      <c r="S251" s="9" t="inlineStr">
        <is>
          <t>T102</t>
        </is>
      </c>
      <c r="T251" s="9" t="inlineStr">
        <is>
          <t>بله</t>
        </is>
      </c>
    </row>
    <row r="252">
      <c r="A252" s="9" t="inlineStr">
        <is>
          <t>1405-0251</t>
        </is>
      </c>
      <c r="B252" s="9" t="inlineStr">
        <is>
          <t>رستگار صنعت پارس</t>
        </is>
      </c>
      <c r="C252" s="9" t="inlineStr">
        <is>
          <t>پایان ماه</t>
        </is>
      </c>
      <c r="D252" s="9" t="inlineStr">
        <is>
          <t>بستن حساب‌های ماه آبان و کنترل مانده‌ها</t>
        </is>
      </c>
      <c r="E252" s="9" t="inlineStr">
        <is>
          <t>ماهانه</t>
        </is>
      </c>
      <c r="F252" s="9" t="inlineStr">
        <is>
          <t>آبان</t>
        </is>
      </c>
      <c r="G252" s="10" t="n">
        <v>46357</v>
      </c>
      <c r="H252" s="9" t="inlineStr">
        <is>
          <t>1405/09/10</t>
        </is>
      </c>
      <c r="I252" s="9" t="n">
        <v>7</v>
      </c>
      <c r="J252" s="10">
        <f>IF(G252="","",G252-I252)</f>
        <v/>
      </c>
      <c r="K252" s="9" t="inlineStr">
        <is>
          <t>بالا</t>
        </is>
      </c>
      <c r="L252" s="9" t="inlineStr">
        <is>
          <t>باز</t>
        </is>
      </c>
      <c r="M252" s="9">
        <f>IF(D252="","",IF(L252="انجام شده","انجام شده",IF(L252="لغو شده","لغو شده",IF(G252&lt;TODAY(),"عقب‌افتاده",IF(G252=TODAY(),"امروز",IF(G252&lt;=TODAY()+7,"تا ۷ روز",IF(G252&lt;=TODAY()+15,"تا ۱۵ روز","آینده")))))))</f>
        <v/>
      </c>
      <c r="N252" s="9" t="inlineStr"/>
      <c r="O252" s="9" t="n">
        <v>0</v>
      </c>
      <c r="P252" s="10" t="n"/>
      <c r="Q252" s="9" t="inlineStr"/>
      <c r="R252" s="9" t="inlineStr">
        <is>
          <t>پیش‌فرض 1405</t>
        </is>
      </c>
      <c r="S252" s="9" t="inlineStr">
        <is>
          <t>T103</t>
        </is>
      </c>
      <c r="T252" s="9" t="inlineStr">
        <is>
          <t>بله</t>
        </is>
      </c>
    </row>
    <row r="253">
      <c r="A253" s="9" t="inlineStr">
        <is>
          <t>1405-0252</t>
        </is>
      </c>
      <c r="B253" s="9" t="inlineStr">
        <is>
          <t>رستگار صنعت پارس</t>
        </is>
      </c>
      <c r="C253" s="9" t="inlineStr">
        <is>
          <t>گزارش</t>
        </is>
      </c>
      <c r="D253" s="9" t="inlineStr">
        <is>
          <t>تهیه گزارش مدیریت ماه آبان</t>
        </is>
      </c>
      <c r="E253" s="9" t="inlineStr">
        <is>
          <t>ماهانه</t>
        </is>
      </c>
      <c r="F253" s="9" t="inlineStr">
        <is>
          <t>آبان</t>
        </is>
      </c>
      <c r="G253" s="10" t="n">
        <v>46357</v>
      </c>
      <c r="H253" s="9" t="inlineStr">
        <is>
          <t>1405/09/10</t>
        </is>
      </c>
      <c r="I253" s="9" t="n">
        <v>5</v>
      </c>
      <c r="J253" s="10">
        <f>IF(G253="","",G253-I253)</f>
        <v/>
      </c>
      <c r="K253" s="9" t="inlineStr">
        <is>
          <t>متوسط</t>
        </is>
      </c>
      <c r="L253" s="9" t="inlineStr">
        <is>
          <t>باز</t>
        </is>
      </c>
      <c r="M253" s="9">
        <f>IF(D253="","",IF(L253="انجام شده","انجام شده",IF(L253="لغو شده","لغو شده",IF(G253&lt;TODAY(),"عقب‌افتاده",IF(G253=TODAY(),"امروز",IF(G253&lt;=TODAY()+7,"تا ۷ روز",IF(G253&lt;=TODAY()+15,"تا ۱۵ روز","آینده")))))))</f>
        <v/>
      </c>
      <c r="N253" s="9" t="inlineStr"/>
      <c r="O253" s="9" t="n">
        <v>0</v>
      </c>
      <c r="P253" s="10" t="n"/>
      <c r="Q253" s="9" t="inlineStr"/>
      <c r="R253" s="9" t="inlineStr">
        <is>
          <t>پیش‌فرض 1405</t>
        </is>
      </c>
      <c r="S253" s="9" t="inlineStr">
        <is>
          <t>T104</t>
        </is>
      </c>
      <c r="T253" s="9" t="inlineStr">
        <is>
          <t>بله</t>
        </is>
      </c>
    </row>
    <row r="254">
      <c r="A254" s="9" t="inlineStr">
        <is>
          <t>1405-0253</t>
        </is>
      </c>
      <c r="B254" s="9" t="inlineStr">
        <is>
          <t>رستگار صنعت پارس</t>
        </is>
      </c>
      <c r="C254" s="9" t="inlineStr">
        <is>
          <t>حقوق و دستمزد</t>
        </is>
      </c>
      <c r="D254" s="9" t="inlineStr">
        <is>
          <t>محاسبه حقوق و دستمزد ماه آبان</t>
        </is>
      </c>
      <c r="E254" s="9" t="inlineStr">
        <is>
          <t>ماهانه</t>
        </is>
      </c>
      <c r="F254" s="9" t="inlineStr">
        <is>
          <t>آبان</t>
        </is>
      </c>
      <c r="G254" s="10" t="n">
        <v>46345</v>
      </c>
      <c r="H254" s="9" t="inlineStr">
        <is>
          <t>1405/08/28</t>
        </is>
      </c>
      <c r="I254" s="9" t="n">
        <v>5</v>
      </c>
      <c r="J254" s="10">
        <f>IF(G254="","",G254-I254)</f>
        <v/>
      </c>
      <c r="K254" s="9" t="inlineStr">
        <is>
          <t>بالا</t>
        </is>
      </c>
      <c r="L254" s="9" t="inlineStr">
        <is>
          <t>باز</t>
        </is>
      </c>
      <c r="M254" s="9">
        <f>IF(D254="","",IF(L254="انجام شده","انجام شده",IF(L254="لغو شده","لغو شده",IF(G254&lt;TODAY(),"عقب‌افتاده",IF(G254=TODAY(),"امروز",IF(G254&lt;=TODAY()+7,"تا ۷ روز",IF(G254&lt;=TODAY()+15,"تا ۱۵ روز","آینده")))))))</f>
        <v/>
      </c>
      <c r="N254" s="9" t="inlineStr"/>
      <c r="O254" s="9" t="n">
        <v>0</v>
      </c>
      <c r="P254" s="10" t="n"/>
      <c r="Q254" s="9" t="inlineStr"/>
      <c r="R254" s="9" t="inlineStr">
        <is>
          <t>پیش‌فرض 1405</t>
        </is>
      </c>
      <c r="S254" s="9" t="inlineStr">
        <is>
          <t>T105</t>
        </is>
      </c>
      <c r="T254" s="9" t="inlineStr">
        <is>
          <t>بله</t>
        </is>
      </c>
    </row>
    <row r="255">
      <c r="A255" s="9" t="inlineStr">
        <is>
          <t>1405-0254</t>
        </is>
      </c>
      <c r="B255" s="9" t="inlineStr">
        <is>
          <t>رستگار صنعت پارس</t>
        </is>
      </c>
      <c r="C255" s="9" t="inlineStr">
        <is>
          <t>حقوق و دستمزد</t>
        </is>
      </c>
      <c r="D255" s="9" t="inlineStr">
        <is>
          <t>ارسال/پرداخت لیست بیمه ماه آبان</t>
        </is>
      </c>
      <c r="E255" s="9" t="inlineStr">
        <is>
          <t>ماهانه</t>
        </is>
      </c>
      <c r="F255" s="9" t="inlineStr">
        <is>
          <t>آبان</t>
        </is>
      </c>
      <c r="G255" s="10" t="n">
        <v>46377</v>
      </c>
      <c r="H255" s="9" t="inlineStr">
        <is>
          <t>1405/09/30</t>
        </is>
      </c>
      <c r="I255" s="9" t="n">
        <v>7</v>
      </c>
      <c r="J255" s="10">
        <f>IF(G255="","",G255-I255)</f>
        <v/>
      </c>
      <c r="K255" s="9" t="inlineStr">
        <is>
          <t>خیلی بالا</t>
        </is>
      </c>
      <c r="L255" s="9" t="inlineStr">
        <is>
          <t>باز</t>
        </is>
      </c>
      <c r="M255" s="9">
        <f>IF(D255="","",IF(L255="انجام شده","انجام شده",IF(L255="لغو شده","لغو شده",IF(G255&lt;TODAY(),"عقب‌افتاده",IF(G255=TODAY(),"امروز",IF(G255&lt;=TODAY()+7,"تا ۷ روز",IF(G255&lt;=TODAY()+15,"تا ۱۵ روز","آینده")))))))</f>
        <v/>
      </c>
      <c r="N255" s="9" t="inlineStr"/>
      <c r="O255" s="9" t="n">
        <v>0</v>
      </c>
      <c r="P255" s="10" t="n"/>
      <c r="Q255" s="9" t="inlineStr"/>
      <c r="R255" s="9" t="inlineStr">
        <is>
          <t>پیش‌فرض 1405</t>
        </is>
      </c>
      <c r="S255" s="9" t="inlineStr">
        <is>
          <t>T106</t>
        </is>
      </c>
      <c r="T255" s="9" t="inlineStr">
        <is>
          <t>بله</t>
        </is>
      </c>
    </row>
    <row r="256">
      <c r="A256" s="9" t="inlineStr">
        <is>
          <t>1405-0255</t>
        </is>
      </c>
      <c r="B256" s="9" t="inlineStr">
        <is>
          <t>رستگار صنعت پارس</t>
        </is>
      </c>
      <c r="C256" s="9" t="inlineStr">
        <is>
          <t>حقوق و دستمزد</t>
        </is>
      </c>
      <c r="D256" s="9" t="inlineStr">
        <is>
          <t>ارسال/پرداخت مالیات حقوق ماه آبان</t>
        </is>
      </c>
      <c r="E256" s="9" t="inlineStr">
        <is>
          <t>ماهانه</t>
        </is>
      </c>
      <c r="F256" s="9" t="inlineStr">
        <is>
          <t>آبان</t>
        </is>
      </c>
      <c r="G256" s="10" t="n">
        <v>46377</v>
      </c>
      <c r="H256" s="9" t="inlineStr">
        <is>
          <t>1405/09/30</t>
        </is>
      </c>
      <c r="I256" s="9" t="n">
        <v>7</v>
      </c>
      <c r="J256" s="10">
        <f>IF(G256="","",G256-I256)</f>
        <v/>
      </c>
      <c r="K256" s="9" t="inlineStr">
        <is>
          <t>خیلی بالا</t>
        </is>
      </c>
      <c r="L256" s="9" t="inlineStr">
        <is>
          <t>باز</t>
        </is>
      </c>
      <c r="M256" s="9">
        <f>IF(D256="","",IF(L256="انجام شده","انجام شده",IF(L256="لغو شده","لغو شده",IF(G256&lt;TODAY(),"عقب‌افتاده",IF(G256=TODAY(),"امروز",IF(G256&lt;=TODAY()+7,"تا ۷ روز",IF(G256&lt;=TODAY()+15,"تا ۱۵ روز","آینده")))))))</f>
        <v/>
      </c>
      <c r="N256" s="9" t="inlineStr"/>
      <c r="O256" s="9" t="n">
        <v>0</v>
      </c>
      <c r="P256" s="10" t="n"/>
      <c r="Q256" s="9" t="inlineStr"/>
      <c r="R256" s="9" t="inlineStr">
        <is>
          <t>پیش‌فرض 1405</t>
        </is>
      </c>
      <c r="S256" s="9" t="inlineStr">
        <is>
          <t>T107</t>
        </is>
      </c>
      <c r="T256" s="9" t="inlineStr">
        <is>
          <t>بله</t>
        </is>
      </c>
    </row>
    <row r="257">
      <c r="A257" s="9" t="inlineStr">
        <is>
          <t>1405-0256</t>
        </is>
      </c>
      <c r="B257" s="9" t="inlineStr">
        <is>
          <t>رستگار صنعت پارس</t>
        </is>
      </c>
      <c r="C257" s="9" t="inlineStr">
        <is>
          <t>بایگانی</t>
        </is>
      </c>
      <c r="D257" s="9" t="inlineStr">
        <is>
          <t>بایگانی مدارک و اسناد ماه آبان</t>
        </is>
      </c>
      <c r="E257" s="9" t="inlineStr">
        <is>
          <t>ماهانه</t>
        </is>
      </c>
      <c r="F257" s="9" t="inlineStr">
        <is>
          <t>آبان</t>
        </is>
      </c>
      <c r="G257" s="10" t="n">
        <v>46362</v>
      </c>
      <c r="H257" s="9" t="inlineStr">
        <is>
          <t>1405/09/15</t>
        </is>
      </c>
      <c r="I257" s="9" t="n">
        <v>3</v>
      </c>
      <c r="J257" s="10">
        <f>IF(G257="","",G257-I257)</f>
        <v/>
      </c>
      <c r="K257" s="9" t="inlineStr">
        <is>
          <t>متوسط</t>
        </is>
      </c>
      <c r="L257" s="9" t="inlineStr">
        <is>
          <t>باز</t>
        </is>
      </c>
      <c r="M257" s="9">
        <f>IF(D257="","",IF(L257="انجام شده","انجام شده",IF(L257="لغو شده","لغو شده",IF(G257&lt;TODAY(),"عقب‌افتاده",IF(G257=TODAY(),"امروز",IF(G257&lt;=TODAY()+7,"تا ۷ روز",IF(G257&lt;=TODAY()+15,"تا ۱۵ روز","آینده")))))))</f>
        <v/>
      </c>
      <c r="N257" s="9" t="inlineStr"/>
      <c r="O257" s="9" t="n">
        <v>0</v>
      </c>
      <c r="P257" s="10" t="n"/>
      <c r="Q257" s="9" t="inlineStr"/>
      <c r="R257" s="9" t="inlineStr">
        <is>
          <t>پیش‌فرض 1405</t>
        </is>
      </c>
      <c r="S257" s="9" t="inlineStr">
        <is>
          <t>T108</t>
        </is>
      </c>
      <c r="T257" s="9" t="inlineStr">
        <is>
          <t>بله</t>
        </is>
      </c>
    </row>
    <row r="258">
      <c r="A258" s="9" t="inlineStr">
        <is>
          <t>1405-0257</t>
        </is>
      </c>
      <c r="B258" s="9" t="inlineStr">
        <is>
          <t>رستگار صنعت پارس</t>
        </is>
      </c>
      <c r="C258" s="9" t="inlineStr">
        <is>
          <t>پایان ماه</t>
        </is>
      </c>
      <c r="D258" s="9" t="inlineStr">
        <is>
          <t>مغایرت‌گیری بانکی ماه آذر</t>
        </is>
      </c>
      <c r="E258" s="9" t="inlineStr">
        <is>
          <t>ماهانه</t>
        </is>
      </c>
      <c r="F258" s="9" t="inlineStr">
        <is>
          <t>آذر</t>
        </is>
      </c>
      <c r="G258" s="10" t="n">
        <v>46382</v>
      </c>
      <c r="H258" s="9" t="inlineStr">
        <is>
          <t>1405/10/05</t>
        </is>
      </c>
      <c r="I258" s="9" t="n">
        <v>5</v>
      </c>
      <c r="J258" s="10">
        <f>IF(G258="","",G258-I258)</f>
        <v/>
      </c>
      <c r="K258" s="9" t="inlineStr">
        <is>
          <t>بالا</t>
        </is>
      </c>
      <c r="L258" s="9" t="inlineStr">
        <is>
          <t>باز</t>
        </is>
      </c>
      <c r="M258" s="9">
        <f>IF(D258="","",IF(L258="انجام شده","انجام شده",IF(L258="لغو شده","لغو شده",IF(G258&lt;TODAY(),"عقب‌افتاده",IF(G258=TODAY(),"امروز",IF(G258&lt;=TODAY()+7,"تا ۷ روز",IF(G258&lt;=TODAY()+15,"تا ۱۵ روز","آینده")))))))</f>
        <v/>
      </c>
      <c r="N258" s="9" t="inlineStr"/>
      <c r="O258" s="9" t="n">
        <v>0</v>
      </c>
      <c r="P258" s="10" t="n"/>
      <c r="Q258" s="9" t="inlineStr"/>
      <c r="R258" s="9" t="inlineStr">
        <is>
          <t>پیش‌فرض 1405</t>
        </is>
      </c>
      <c r="S258" s="9" t="inlineStr">
        <is>
          <t>T101</t>
        </is>
      </c>
      <c r="T258" s="9" t="inlineStr">
        <is>
          <t>بله</t>
        </is>
      </c>
    </row>
    <row r="259">
      <c r="A259" s="9" t="inlineStr">
        <is>
          <t>1405-0258</t>
        </is>
      </c>
      <c r="B259" s="9" t="inlineStr">
        <is>
          <t>رستگار صنعت پارس</t>
        </is>
      </c>
      <c r="C259" s="9" t="inlineStr">
        <is>
          <t>پایان ماه</t>
        </is>
      </c>
      <c r="D259" s="9" t="inlineStr">
        <is>
          <t>کنترل نهایی اسناد ماه آذر</t>
        </is>
      </c>
      <c r="E259" s="9" t="inlineStr">
        <is>
          <t>ماهانه</t>
        </is>
      </c>
      <c r="F259" s="9" t="inlineStr">
        <is>
          <t>آذر</t>
        </is>
      </c>
      <c r="G259" s="10" t="n">
        <v>46384</v>
      </c>
      <c r="H259" s="9" t="inlineStr">
        <is>
          <t>1405/10/07</t>
        </is>
      </c>
      <c r="I259" s="9" t="n">
        <v>5</v>
      </c>
      <c r="J259" s="10">
        <f>IF(G259="","",G259-I259)</f>
        <v/>
      </c>
      <c r="K259" s="9" t="inlineStr">
        <is>
          <t>بالا</t>
        </is>
      </c>
      <c r="L259" s="9" t="inlineStr">
        <is>
          <t>باز</t>
        </is>
      </c>
      <c r="M259" s="9">
        <f>IF(D259="","",IF(L259="انجام شده","انجام شده",IF(L259="لغو شده","لغو شده",IF(G259&lt;TODAY(),"عقب‌افتاده",IF(G259=TODAY(),"امروز",IF(G259&lt;=TODAY()+7,"تا ۷ روز",IF(G259&lt;=TODAY()+15,"تا ۱۵ روز","آینده")))))))</f>
        <v/>
      </c>
      <c r="N259" s="9" t="inlineStr"/>
      <c r="O259" s="9" t="n">
        <v>0</v>
      </c>
      <c r="P259" s="10" t="n"/>
      <c r="Q259" s="9" t="inlineStr"/>
      <c r="R259" s="9" t="inlineStr">
        <is>
          <t>پیش‌فرض 1405</t>
        </is>
      </c>
      <c r="S259" s="9" t="inlineStr">
        <is>
          <t>T102</t>
        </is>
      </c>
      <c r="T259" s="9" t="inlineStr">
        <is>
          <t>بله</t>
        </is>
      </c>
    </row>
    <row r="260">
      <c r="A260" s="9" t="inlineStr">
        <is>
          <t>1405-0259</t>
        </is>
      </c>
      <c r="B260" s="9" t="inlineStr">
        <is>
          <t>رستگار صنعت پارس</t>
        </is>
      </c>
      <c r="C260" s="9" t="inlineStr">
        <is>
          <t>پایان ماه</t>
        </is>
      </c>
      <c r="D260" s="9" t="inlineStr">
        <is>
          <t>بستن حساب‌های ماه آذر و کنترل مانده‌ها</t>
        </is>
      </c>
      <c r="E260" s="9" t="inlineStr">
        <is>
          <t>ماهانه</t>
        </is>
      </c>
      <c r="F260" s="9" t="inlineStr">
        <is>
          <t>آذر</t>
        </is>
      </c>
      <c r="G260" s="10" t="n">
        <v>46387</v>
      </c>
      <c r="H260" s="9" t="inlineStr">
        <is>
          <t>1405/10/10</t>
        </is>
      </c>
      <c r="I260" s="9" t="n">
        <v>7</v>
      </c>
      <c r="J260" s="10">
        <f>IF(G260="","",G260-I260)</f>
        <v/>
      </c>
      <c r="K260" s="9" t="inlineStr">
        <is>
          <t>بالا</t>
        </is>
      </c>
      <c r="L260" s="9" t="inlineStr">
        <is>
          <t>باز</t>
        </is>
      </c>
      <c r="M260" s="9">
        <f>IF(D260="","",IF(L260="انجام شده","انجام شده",IF(L260="لغو شده","لغو شده",IF(G260&lt;TODAY(),"عقب‌افتاده",IF(G260=TODAY(),"امروز",IF(G260&lt;=TODAY()+7,"تا ۷ روز",IF(G260&lt;=TODAY()+15,"تا ۱۵ روز","آینده")))))))</f>
        <v/>
      </c>
      <c r="N260" s="9" t="inlineStr"/>
      <c r="O260" s="9" t="n">
        <v>0</v>
      </c>
      <c r="P260" s="10" t="n"/>
      <c r="Q260" s="9" t="inlineStr"/>
      <c r="R260" s="9" t="inlineStr">
        <is>
          <t>پیش‌فرض 1405</t>
        </is>
      </c>
      <c r="S260" s="9" t="inlineStr">
        <is>
          <t>T103</t>
        </is>
      </c>
      <c r="T260" s="9" t="inlineStr">
        <is>
          <t>بله</t>
        </is>
      </c>
    </row>
    <row r="261">
      <c r="A261" s="9" t="inlineStr">
        <is>
          <t>1405-0260</t>
        </is>
      </c>
      <c r="B261" s="9" t="inlineStr">
        <is>
          <t>رستگار صنعت پارس</t>
        </is>
      </c>
      <c r="C261" s="9" t="inlineStr">
        <is>
          <t>گزارش</t>
        </is>
      </c>
      <c r="D261" s="9" t="inlineStr">
        <is>
          <t>تهیه گزارش مدیریت ماه آذر</t>
        </is>
      </c>
      <c r="E261" s="9" t="inlineStr">
        <is>
          <t>ماهانه</t>
        </is>
      </c>
      <c r="F261" s="9" t="inlineStr">
        <is>
          <t>آذر</t>
        </is>
      </c>
      <c r="G261" s="10" t="n">
        <v>46387</v>
      </c>
      <c r="H261" s="9" t="inlineStr">
        <is>
          <t>1405/10/10</t>
        </is>
      </c>
      <c r="I261" s="9" t="n">
        <v>5</v>
      </c>
      <c r="J261" s="10">
        <f>IF(G261="","",G261-I261)</f>
        <v/>
      </c>
      <c r="K261" s="9" t="inlineStr">
        <is>
          <t>متوسط</t>
        </is>
      </c>
      <c r="L261" s="9" t="inlineStr">
        <is>
          <t>باز</t>
        </is>
      </c>
      <c r="M261" s="9">
        <f>IF(D261="","",IF(L261="انجام شده","انجام شده",IF(L261="لغو شده","لغو شده",IF(G261&lt;TODAY(),"عقب‌افتاده",IF(G261=TODAY(),"امروز",IF(G261&lt;=TODAY()+7,"تا ۷ روز",IF(G261&lt;=TODAY()+15,"تا ۱۵ روز","آینده")))))))</f>
        <v/>
      </c>
      <c r="N261" s="9" t="inlineStr"/>
      <c r="O261" s="9" t="n">
        <v>0</v>
      </c>
      <c r="P261" s="10" t="n"/>
      <c r="Q261" s="9" t="inlineStr"/>
      <c r="R261" s="9" t="inlineStr">
        <is>
          <t>پیش‌فرض 1405</t>
        </is>
      </c>
      <c r="S261" s="9" t="inlineStr">
        <is>
          <t>T104</t>
        </is>
      </c>
      <c r="T261" s="9" t="inlineStr">
        <is>
          <t>بله</t>
        </is>
      </c>
    </row>
    <row r="262">
      <c r="A262" s="9" t="inlineStr">
        <is>
          <t>1405-0261</t>
        </is>
      </c>
      <c r="B262" s="9" t="inlineStr">
        <is>
          <t>رستگار صنعت پارس</t>
        </is>
      </c>
      <c r="C262" s="9" t="inlineStr">
        <is>
          <t>حقوق و دستمزد</t>
        </is>
      </c>
      <c r="D262" s="9" t="inlineStr">
        <is>
          <t>محاسبه حقوق و دستمزد ماه آذر</t>
        </is>
      </c>
      <c r="E262" s="9" t="inlineStr">
        <is>
          <t>ماهانه</t>
        </is>
      </c>
      <c r="F262" s="9" t="inlineStr">
        <is>
          <t>آذر</t>
        </is>
      </c>
      <c r="G262" s="10" t="n">
        <v>46375</v>
      </c>
      <c r="H262" s="9" t="inlineStr">
        <is>
          <t>1405/09/28</t>
        </is>
      </c>
      <c r="I262" s="9" t="n">
        <v>5</v>
      </c>
      <c r="J262" s="10">
        <f>IF(G262="","",G262-I262)</f>
        <v/>
      </c>
      <c r="K262" s="9" t="inlineStr">
        <is>
          <t>بالا</t>
        </is>
      </c>
      <c r="L262" s="9" t="inlineStr">
        <is>
          <t>باز</t>
        </is>
      </c>
      <c r="M262" s="9">
        <f>IF(D262="","",IF(L262="انجام شده","انجام شده",IF(L262="لغو شده","لغو شده",IF(G262&lt;TODAY(),"عقب‌افتاده",IF(G262=TODAY(),"امروز",IF(G262&lt;=TODAY()+7,"تا ۷ روز",IF(G262&lt;=TODAY()+15,"تا ۱۵ روز","آینده")))))))</f>
        <v/>
      </c>
      <c r="N262" s="9" t="inlineStr"/>
      <c r="O262" s="9" t="n">
        <v>0</v>
      </c>
      <c r="P262" s="10" t="n"/>
      <c r="Q262" s="9" t="inlineStr"/>
      <c r="R262" s="9" t="inlineStr">
        <is>
          <t>پیش‌فرض 1405</t>
        </is>
      </c>
      <c r="S262" s="9" t="inlineStr">
        <is>
          <t>T105</t>
        </is>
      </c>
      <c r="T262" s="9" t="inlineStr">
        <is>
          <t>بله</t>
        </is>
      </c>
    </row>
    <row r="263">
      <c r="A263" s="9" t="inlineStr">
        <is>
          <t>1405-0262</t>
        </is>
      </c>
      <c r="B263" s="9" t="inlineStr">
        <is>
          <t>رستگار صنعت پارس</t>
        </is>
      </c>
      <c r="C263" s="9" t="inlineStr">
        <is>
          <t>حقوق و دستمزد</t>
        </is>
      </c>
      <c r="D263" s="9" t="inlineStr">
        <is>
          <t>ارسال/پرداخت لیست بیمه ماه آذر</t>
        </is>
      </c>
      <c r="E263" s="9" t="inlineStr">
        <is>
          <t>ماهانه</t>
        </is>
      </c>
      <c r="F263" s="9" t="inlineStr">
        <is>
          <t>آذر</t>
        </is>
      </c>
      <c r="G263" s="10" t="n">
        <v>46407</v>
      </c>
      <c r="H263" s="9" t="inlineStr">
        <is>
          <t>1405/10/30</t>
        </is>
      </c>
      <c r="I263" s="9" t="n">
        <v>7</v>
      </c>
      <c r="J263" s="10">
        <f>IF(G263="","",G263-I263)</f>
        <v/>
      </c>
      <c r="K263" s="9" t="inlineStr">
        <is>
          <t>خیلی بالا</t>
        </is>
      </c>
      <c r="L263" s="9" t="inlineStr">
        <is>
          <t>باز</t>
        </is>
      </c>
      <c r="M263" s="9">
        <f>IF(D263="","",IF(L263="انجام شده","انجام شده",IF(L263="لغو شده","لغو شده",IF(G263&lt;TODAY(),"عقب‌افتاده",IF(G263=TODAY(),"امروز",IF(G263&lt;=TODAY()+7,"تا ۷ روز",IF(G263&lt;=TODAY()+15,"تا ۱۵ روز","آینده")))))))</f>
        <v/>
      </c>
      <c r="N263" s="9" t="inlineStr"/>
      <c r="O263" s="9" t="n">
        <v>0</v>
      </c>
      <c r="P263" s="10" t="n"/>
      <c r="Q263" s="9" t="inlineStr"/>
      <c r="R263" s="9" t="inlineStr">
        <is>
          <t>پیش‌فرض 1405</t>
        </is>
      </c>
      <c r="S263" s="9" t="inlineStr">
        <is>
          <t>T106</t>
        </is>
      </c>
      <c r="T263" s="9" t="inlineStr">
        <is>
          <t>بله</t>
        </is>
      </c>
    </row>
    <row r="264">
      <c r="A264" s="9" t="inlineStr">
        <is>
          <t>1405-0263</t>
        </is>
      </c>
      <c r="B264" s="9" t="inlineStr">
        <is>
          <t>رستگار صنعت پارس</t>
        </is>
      </c>
      <c r="C264" s="9" t="inlineStr">
        <is>
          <t>حقوق و دستمزد</t>
        </is>
      </c>
      <c r="D264" s="9" t="inlineStr">
        <is>
          <t>ارسال/پرداخت مالیات حقوق ماه آذر</t>
        </is>
      </c>
      <c r="E264" s="9" t="inlineStr">
        <is>
          <t>ماهانه</t>
        </is>
      </c>
      <c r="F264" s="9" t="inlineStr">
        <is>
          <t>آذر</t>
        </is>
      </c>
      <c r="G264" s="10" t="n">
        <v>46407</v>
      </c>
      <c r="H264" s="9" t="inlineStr">
        <is>
          <t>1405/10/30</t>
        </is>
      </c>
      <c r="I264" s="9" t="n">
        <v>7</v>
      </c>
      <c r="J264" s="10">
        <f>IF(G264="","",G264-I264)</f>
        <v/>
      </c>
      <c r="K264" s="9" t="inlineStr">
        <is>
          <t>خیلی بالا</t>
        </is>
      </c>
      <c r="L264" s="9" t="inlineStr">
        <is>
          <t>باز</t>
        </is>
      </c>
      <c r="M264" s="9">
        <f>IF(D264="","",IF(L264="انجام شده","انجام شده",IF(L264="لغو شده","لغو شده",IF(G264&lt;TODAY(),"عقب‌افتاده",IF(G264=TODAY(),"امروز",IF(G264&lt;=TODAY()+7,"تا ۷ روز",IF(G264&lt;=TODAY()+15,"تا ۱۵ روز","آینده")))))))</f>
        <v/>
      </c>
      <c r="N264" s="9" t="inlineStr"/>
      <c r="O264" s="9" t="n">
        <v>0</v>
      </c>
      <c r="P264" s="10" t="n"/>
      <c r="Q264" s="9" t="inlineStr"/>
      <c r="R264" s="9" t="inlineStr">
        <is>
          <t>پیش‌فرض 1405</t>
        </is>
      </c>
      <c r="S264" s="9" t="inlineStr">
        <is>
          <t>T107</t>
        </is>
      </c>
      <c r="T264" s="9" t="inlineStr">
        <is>
          <t>بله</t>
        </is>
      </c>
    </row>
    <row r="265">
      <c r="A265" s="9" t="inlineStr">
        <is>
          <t>1405-0264</t>
        </is>
      </c>
      <c r="B265" s="9" t="inlineStr">
        <is>
          <t>رستگار صنعت پارس</t>
        </is>
      </c>
      <c r="C265" s="9" t="inlineStr">
        <is>
          <t>بایگانی</t>
        </is>
      </c>
      <c r="D265" s="9" t="inlineStr">
        <is>
          <t>بایگانی مدارک و اسناد ماه آذر</t>
        </is>
      </c>
      <c r="E265" s="9" t="inlineStr">
        <is>
          <t>ماهانه</t>
        </is>
      </c>
      <c r="F265" s="9" t="inlineStr">
        <is>
          <t>آذر</t>
        </is>
      </c>
      <c r="G265" s="10" t="n">
        <v>46392</v>
      </c>
      <c r="H265" s="9" t="inlineStr">
        <is>
          <t>1405/10/15</t>
        </is>
      </c>
      <c r="I265" s="9" t="n">
        <v>3</v>
      </c>
      <c r="J265" s="10">
        <f>IF(G265="","",G265-I265)</f>
        <v/>
      </c>
      <c r="K265" s="9" t="inlineStr">
        <is>
          <t>متوسط</t>
        </is>
      </c>
      <c r="L265" s="9" t="inlineStr">
        <is>
          <t>باز</t>
        </is>
      </c>
      <c r="M265" s="9">
        <f>IF(D265="","",IF(L265="انجام شده","انجام شده",IF(L265="لغو شده","لغو شده",IF(G265&lt;TODAY(),"عقب‌افتاده",IF(G265=TODAY(),"امروز",IF(G265&lt;=TODAY()+7,"تا ۷ روز",IF(G265&lt;=TODAY()+15,"تا ۱۵ روز","آینده")))))))</f>
        <v/>
      </c>
      <c r="N265" s="9" t="inlineStr"/>
      <c r="O265" s="9" t="n">
        <v>0</v>
      </c>
      <c r="P265" s="10" t="n"/>
      <c r="Q265" s="9" t="inlineStr"/>
      <c r="R265" s="9" t="inlineStr">
        <is>
          <t>پیش‌فرض 1405</t>
        </is>
      </c>
      <c r="S265" s="9" t="inlineStr">
        <is>
          <t>T108</t>
        </is>
      </c>
      <c r="T265" s="9" t="inlineStr">
        <is>
          <t>بله</t>
        </is>
      </c>
    </row>
    <row r="266">
      <c r="A266" s="9" t="inlineStr">
        <is>
          <t>1405-0265</t>
        </is>
      </c>
      <c r="B266" s="9" t="inlineStr">
        <is>
          <t>رستگار صنعت پارس</t>
        </is>
      </c>
      <c r="C266" s="9" t="inlineStr">
        <is>
          <t>پایان ماه</t>
        </is>
      </c>
      <c r="D266" s="9" t="inlineStr">
        <is>
          <t>مغایرت‌گیری بانکی ماه دی</t>
        </is>
      </c>
      <c r="E266" s="9" t="inlineStr">
        <is>
          <t>ماهانه</t>
        </is>
      </c>
      <c r="F266" s="9" t="inlineStr">
        <is>
          <t>دی</t>
        </is>
      </c>
      <c r="G266" s="10" t="n">
        <v>46412</v>
      </c>
      <c r="H266" s="9" t="inlineStr">
        <is>
          <t>1405/11/05</t>
        </is>
      </c>
      <c r="I266" s="9" t="n">
        <v>5</v>
      </c>
      <c r="J266" s="10">
        <f>IF(G266="","",G266-I266)</f>
        <v/>
      </c>
      <c r="K266" s="9" t="inlineStr">
        <is>
          <t>بالا</t>
        </is>
      </c>
      <c r="L266" s="9" t="inlineStr">
        <is>
          <t>باز</t>
        </is>
      </c>
      <c r="M266" s="9">
        <f>IF(D266="","",IF(L266="انجام شده","انجام شده",IF(L266="لغو شده","لغو شده",IF(G266&lt;TODAY(),"عقب‌افتاده",IF(G266=TODAY(),"امروز",IF(G266&lt;=TODAY()+7,"تا ۷ روز",IF(G266&lt;=TODAY()+15,"تا ۱۵ روز","آینده")))))))</f>
        <v/>
      </c>
      <c r="N266" s="9" t="inlineStr"/>
      <c r="O266" s="9" t="n">
        <v>0</v>
      </c>
      <c r="P266" s="10" t="n"/>
      <c r="Q266" s="9" t="inlineStr"/>
      <c r="R266" s="9" t="inlineStr">
        <is>
          <t>پیش‌فرض 1405</t>
        </is>
      </c>
      <c r="S266" s="9" t="inlineStr">
        <is>
          <t>T101</t>
        </is>
      </c>
      <c r="T266" s="9" t="inlineStr">
        <is>
          <t>بله</t>
        </is>
      </c>
    </row>
    <row r="267">
      <c r="A267" s="9" t="inlineStr">
        <is>
          <t>1405-0266</t>
        </is>
      </c>
      <c r="B267" s="9" t="inlineStr">
        <is>
          <t>رستگار صنعت پارس</t>
        </is>
      </c>
      <c r="C267" s="9" t="inlineStr">
        <is>
          <t>پایان ماه</t>
        </is>
      </c>
      <c r="D267" s="9" t="inlineStr">
        <is>
          <t>کنترل نهایی اسناد ماه دی</t>
        </is>
      </c>
      <c r="E267" s="9" t="inlineStr">
        <is>
          <t>ماهانه</t>
        </is>
      </c>
      <c r="F267" s="9" t="inlineStr">
        <is>
          <t>دی</t>
        </is>
      </c>
      <c r="G267" s="10" t="n">
        <v>46414</v>
      </c>
      <c r="H267" s="9" t="inlineStr">
        <is>
          <t>1405/11/07</t>
        </is>
      </c>
      <c r="I267" s="9" t="n">
        <v>5</v>
      </c>
      <c r="J267" s="10">
        <f>IF(G267="","",G267-I267)</f>
        <v/>
      </c>
      <c r="K267" s="9" t="inlineStr">
        <is>
          <t>بالا</t>
        </is>
      </c>
      <c r="L267" s="9" t="inlineStr">
        <is>
          <t>باز</t>
        </is>
      </c>
      <c r="M267" s="9">
        <f>IF(D267="","",IF(L267="انجام شده","انجام شده",IF(L267="لغو شده","لغو شده",IF(G267&lt;TODAY(),"عقب‌افتاده",IF(G267=TODAY(),"امروز",IF(G267&lt;=TODAY()+7,"تا ۷ روز",IF(G267&lt;=TODAY()+15,"تا ۱۵ روز","آینده")))))))</f>
        <v/>
      </c>
      <c r="N267" s="9" t="inlineStr"/>
      <c r="O267" s="9" t="n">
        <v>0</v>
      </c>
      <c r="P267" s="10" t="n"/>
      <c r="Q267" s="9" t="inlineStr"/>
      <c r="R267" s="9" t="inlineStr">
        <is>
          <t>پیش‌فرض 1405</t>
        </is>
      </c>
      <c r="S267" s="9" t="inlineStr">
        <is>
          <t>T102</t>
        </is>
      </c>
      <c r="T267" s="9" t="inlineStr">
        <is>
          <t>بله</t>
        </is>
      </c>
    </row>
    <row r="268">
      <c r="A268" s="9" t="inlineStr">
        <is>
          <t>1405-0267</t>
        </is>
      </c>
      <c r="B268" s="9" t="inlineStr">
        <is>
          <t>رستگار صنعت پارس</t>
        </is>
      </c>
      <c r="C268" s="9" t="inlineStr">
        <is>
          <t>پایان ماه</t>
        </is>
      </c>
      <c r="D268" s="9" t="inlineStr">
        <is>
          <t>بستن حساب‌های ماه دی و کنترل مانده‌ها</t>
        </is>
      </c>
      <c r="E268" s="9" t="inlineStr">
        <is>
          <t>ماهانه</t>
        </is>
      </c>
      <c r="F268" s="9" t="inlineStr">
        <is>
          <t>دی</t>
        </is>
      </c>
      <c r="G268" s="10" t="n">
        <v>46417</v>
      </c>
      <c r="H268" s="9" t="inlineStr">
        <is>
          <t>1405/11/10</t>
        </is>
      </c>
      <c r="I268" s="9" t="n">
        <v>7</v>
      </c>
      <c r="J268" s="10">
        <f>IF(G268="","",G268-I268)</f>
        <v/>
      </c>
      <c r="K268" s="9" t="inlineStr">
        <is>
          <t>بالا</t>
        </is>
      </c>
      <c r="L268" s="9" t="inlineStr">
        <is>
          <t>باز</t>
        </is>
      </c>
      <c r="M268" s="9">
        <f>IF(D268="","",IF(L268="انجام شده","انجام شده",IF(L268="لغو شده","لغو شده",IF(G268&lt;TODAY(),"عقب‌افتاده",IF(G268=TODAY(),"امروز",IF(G268&lt;=TODAY()+7,"تا ۷ روز",IF(G268&lt;=TODAY()+15,"تا ۱۵ روز","آینده")))))))</f>
        <v/>
      </c>
      <c r="N268" s="9" t="inlineStr"/>
      <c r="O268" s="9" t="n">
        <v>0</v>
      </c>
      <c r="P268" s="10" t="n"/>
      <c r="Q268" s="9" t="inlineStr"/>
      <c r="R268" s="9" t="inlineStr">
        <is>
          <t>پیش‌فرض 1405</t>
        </is>
      </c>
      <c r="S268" s="9" t="inlineStr">
        <is>
          <t>T103</t>
        </is>
      </c>
      <c r="T268" s="9" t="inlineStr">
        <is>
          <t>بله</t>
        </is>
      </c>
    </row>
    <row r="269">
      <c r="A269" s="9" t="inlineStr">
        <is>
          <t>1405-0268</t>
        </is>
      </c>
      <c r="B269" s="9" t="inlineStr">
        <is>
          <t>رستگار صنعت پارس</t>
        </is>
      </c>
      <c r="C269" s="9" t="inlineStr">
        <is>
          <t>گزارش</t>
        </is>
      </c>
      <c r="D269" s="9" t="inlineStr">
        <is>
          <t>تهیه گزارش مدیریت ماه دی</t>
        </is>
      </c>
      <c r="E269" s="9" t="inlineStr">
        <is>
          <t>ماهانه</t>
        </is>
      </c>
      <c r="F269" s="9" t="inlineStr">
        <is>
          <t>دی</t>
        </is>
      </c>
      <c r="G269" s="10" t="n">
        <v>46417</v>
      </c>
      <c r="H269" s="9" t="inlineStr">
        <is>
          <t>1405/11/10</t>
        </is>
      </c>
      <c r="I269" s="9" t="n">
        <v>5</v>
      </c>
      <c r="J269" s="10">
        <f>IF(G269="","",G269-I269)</f>
        <v/>
      </c>
      <c r="K269" s="9" t="inlineStr">
        <is>
          <t>متوسط</t>
        </is>
      </c>
      <c r="L269" s="9" t="inlineStr">
        <is>
          <t>باز</t>
        </is>
      </c>
      <c r="M269" s="9">
        <f>IF(D269="","",IF(L269="انجام شده","انجام شده",IF(L269="لغو شده","لغو شده",IF(G269&lt;TODAY(),"عقب‌افتاده",IF(G269=TODAY(),"امروز",IF(G269&lt;=TODAY()+7,"تا ۷ روز",IF(G269&lt;=TODAY()+15,"تا ۱۵ روز","آینده")))))))</f>
        <v/>
      </c>
      <c r="N269" s="9" t="inlineStr"/>
      <c r="O269" s="9" t="n">
        <v>0</v>
      </c>
      <c r="P269" s="10" t="n"/>
      <c r="Q269" s="9" t="inlineStr"/>
      <c r="R269" s="9" t="inlineStr">
        <is>
          <t>پیش‌فرض 1405</t>
        </is>
      </c>
      <c r="S269" s="9" t="inlineStr">
        <is>
          <t>T104</t>
        </is>
      </c>
      <c r="T269" s="9" t="inlineStr">
        <is>
          <t>بله</t>
        </is>
      </c>
    </row>
    <row r="270">
      <c r="A270" s="9" t="inlineStr">
        <is>
          <t>1405-0269</t>
        </is>
      </c>
      <c r="B270" s="9" t="inlineStr">
        <is>
          <t>رستگار صنعت پارس</t>
        </is>
      </c>
      <c r="C270" s="9" t="inlineStr">
        <is>
          <t>حقوق و دستمزد</t>
        </is>
      </c>
      <c r="D270" s="9" t="inlineStr">
        <is>
          <t>محاسبه حقوق و دستمزد ماه دی</t>
        </is>
      </c>
      <c r="E270" s="9" t="inlineStr">
        <is>
          <t>ماهانه</t>
        </is>
      </c>
      <c r="F270" s="9" t="inlineStr">
        <is>
          <t>دی</t>
        </is>
      </c>
      <c r="G270" s="10" t="n">
        <v>46405</v>
      </c>
      <c r="H270" s="9" t="inlineStr">
        <is>
          <t>1405/10/28</t>
        </is>
      </c>
      <c r="I270" s="9" t="n">
        <v>5</v>
      </c>
      <c r="J270" s="10">
        <f>IF(G270="","",G270-I270)</f>
        <v/>
      </c>
      <c r="K270" s="9" t="inlineStr">
        <is>
          <t>بالا</t>
        </is>
      </c>
      <c r="L270" s="9" t="inlineStr">
        <is>
          <t>باز</t>
        </is>
      </c>
      <c r="M270" s="9">
        <f>IF(D270="","",IF(L270="انجام شده","انجام شده",IF(L270="لغو شده","لغو شده",IF(G270&lt;TODAY(),"عقب‌افتاده",IF(G270=TODAY(),"امروز",IF(G270&lt;=TODAY()+7,"تا ۷ روز",IF(G270&lt;=TODAY()+15,"تا ۱۵ روز","آینده")))))))</f>
        <v/>
      </c>
      <c r="N270" s="9" t="inlineStr"/>
      <c r="O270" s="9" t="n">
        <v>0</v>
      </c>
      <c r="P270" s="10" t="n"/>
      <c r="Q270" s="9" t="inlineStr"/>
      <c r="R270" s="9" t="inlineStr">
        <is>
          <t>پیش‌فرض 1405</t>
        </is>
      </c>
      <c r="S270" s="9" t="inlineStr">
        <is>
          <t>T105</t>
        </is>
      </c>
      <c r="T270" s="9" t="inlineStr">
        <is>
          <t>بله</t>
        </is>
      </c>
    </row>
    <row r="271">
      <c r="A271" s="9" t="inlineStr">
        <is>
          <t>1405-0270</t>
        </is>
      </c>
      <c r="B271" s="9" t="inlineStr">
        <is>
          <t>رستگار صنعت پارس</t>
        </is>
      </c>
      <c r="C271" s="9" t="inlineStr">
        <is>
          <t>حقوق و دستمزد</t>
        </is>
      </c>
      <c r="D271" s="9" t="inlineStr">
        <is>
          <t>ارسال/پرداخت لیست بیمه ماه دی</t>
        </is>
      </c>
      <c r="E271" s="9" t="inlineStr">
        <is>
          <t>ماهانه</t>
        </is>
      </c>
      <c r="F271" s="9" t="inlineStr">
        <is>
          <t>دی</t>
        </is>
      </c>
      <c r="G271" s="10" t="n">
        <v>46437</v>
      </c>
      <c r="H271" s="9" t="inlineStr">
        <is>
          <t>1405/11/30</t>
        </is>
      </c>
      <c r="I271" s="9" t="n">
        <v>7</v>
      </c>
      <c r="J271" s="10">
        <f>IF(G271="","",G271-I271)</f>
        <v/>
      </c>
      <c r="K271" s="9" t="inlineStr">
        <is>
          <t>خیلی بالا</t>
        </is>
      </c>
      <c r="L271" s="9" t="inlineStr">
        <is>
          <t>باز</t>
        </is>
      </c>
      <c r="M271" s="9">
        <f>IF(D271="","",IF(L271="انجام شده","انجام شده",IF(L271="لغو شده","لغو شده",IF(G271&lt;TODAY(),"عقب‌افتاده",IF(G271=TODAY(),"امروز",IF(G271&lt;=TODAY()+7,"تا ۷ روز",IF(G271&lt;=TODAY()+15,"تا ۱۵ روز","آینده")))))))</f>
        <v/>
      </c>
      <c r="N271" s="9" t="inlineStr"/>
      <c r="O271" s="9" t="n">
        <v>0</v>
      </c>
      <c r="P271" s="10" t="n"/>
      <c r="Q271" s="9" t="inlineStr"/>
      <c r="R271" s="9" t="inlineStr">
        <is>
          <t>پیش‌فرض 1405</t>
        </is>
      </c>
      <c r="S271" s="9" t="inlineStr">
        <is>
          <t>T106</t>
        </is>
      </c>
      <c r="T271" s="9" t="inlineStr">
        <is>
          <t>بله</t>
        </is>
      </c>
    </row>
    <row r="272">
      <c r="A272" s="9" t="inlineStr">
        <is>
          <t>1405-0271</t>
        </is>
      </c>
      <c r="B272" s="9" t="inlineStr">
        <is>
          <t>رستگار صنعت پارس</t>
        </is>
      </c>
      <c r="C272" s="9" t="inlineStr">
        <is>
          <t>حقوق و دستمزد</t>
        </is>
      </c>
      <c r="D272" s="9" t="inlineStr">
        <is>
          <t>ارسال/پرداخت مالیات حقوق ماه دی</t>
        </is>
      </c>
      <c r="E272" s="9" t="inlineStr">
        <is>
          <t>ماهانه</t>
        </is>
      </c>
      <c r="F272" s="9" t="inlineStr">
        <is>
          <t>دی</t>
        </is>
      </c>
      <c r="G272" s="10" t="n">
        <v>46437</v>
      </c>
      <c r="H272" s="9" t="inlineStr">
        <is>
          <t>1405/11/30</t>
        </is>
      </c>
      <c r="I272" s="9" t="n">
        <v>7</v>
      </c>
      <c r="J272" s="10">
        <f>IF(G272="","",G272-I272)</f>
        <v/>
      </c>
      <c r="K272" s="9" t="inlineStr">
        <is>
          <t>خیلی بالا</t>
        </is>
      </c>
      <c r="L272" s="9" t="inlineStr">
        <is>
          <t>باز</t>
        </is>
      </c>
      <c r="M272" s="9">
        <f>IF(D272="","",IF(L272="انجام شده","انجام شده",IF(L272="لغو شده","لغو شده",IF(G272&lt;TODAY(),"عقب‌افتاده",IF(G272=TODAY(),"امروز",IF(G272&lt;=TODAY()+7,"تا ۷ روز",IF(G272&lt;=TODAY()+15,"تا ۱۵ روز","آینده")))))))</f>
        <v/>
      </c>
      <c r="N272" s="9" t="inlineStr"/>
      <c r="O272" s="9" t="n">
        <v>0</v>
      </c>
      <c r="P272" s="10" t="n"/>
      <c r="Q272" s="9" t="inlineStr"/>
      <c r="R272" s="9" t="inlineStr">
        <is>
          <t>پیش‌فرض 1405</t>
        </is>
      </c>
      <c r="S272" s="9" t="inlineStr">
        <is>
          <t>T107</t>
        </is>
      </c>
      <c r="T272" s="9" t="inlineStr">
        <is>
          <t>بله</t>
        </is>
      </c>
    </row>
    <row r="273">
      <c r="A273" s="9" t="inlineStr">
        <is>
          <t>1405-0272</t>
        </is>
      </c>
      <c r="B273" s="9" t="inlineStr">
        <is>
          <t>رستگار صنعت پارس</t>
        </is>
      </c>
      <c r="C273" s="9" t="inlineStr">
        <is>
          <t>بایگانی</t>
        </is>
      </c>
      <c r="D273" s="9" t="inlineStr">
        <is>
          <t>بایگانی مدارک و اسناد ماه دی</t>
        </is>
      </c>
      <c r="E273" s="9" t="inlineStr">
        <is>
          <t>ماهانه</t>
        </is>
      </c>
      <c r="F273" s="9" t="inlineStr">
        <is>
          <t>دی</t>
        </is>
      </c>
      <c r="G273" s="10" t="n">
        <v>46422</v>
      </c>
      <c r="H273" s="9" t="inlineStr">
        <is>
          <t>1405/11/15</t>
        </is>
      </c>
      <c r="I273" s="9" t="n">
        <v>3</v>
      </c>
      <c r="J273" s="10">
        <f>IF(G273="","",G273-I273)</f>
        <v/>
      </c>
      <c r="K273" s="9" t="inlineStr">
        <is>
          <t>متوسط</t>
        </is>
      </c>
      <c r="L273" s="9" t="inlineStr">
        <is>
          <t>باز</t>
        </is>
      </c>
      <c r="M273" s="9">
        <f>IF(D273="","",IF(L273="انجام شده","انجام شده",IF(L273="لغو شده","لغو شده",IF(G273&lt;TODAY(),"عقب‌افتاده",IF(G273=TODAY(),"امروز",IF(G273&lt;=TODAY()+7,"تا ۷ روز",IF(G273&lt;=TODAY()+15,"تا ۱۵ روز","آینده")))))))</f>
        <v/>
      </c>
      <c r="N273" s="9" t="inlineStr"/>
      <c r="O273" s="9" t="n">
        <v>0</v>
      </c>
      <c r="P273" s="10" t="n"/>
      <c r="Q273" s="9" t="inlineStr"/>
      <c r="R273" s="9" t="inlineStr">
        <is>
          <t>پیش‌فرض 1405</t>
        </is>
      </c>
      <c r="S273" s="9" t="inlineStr">
        <is>
          <t>T108</t>
        </is>
      </c>
      <c r="T273" s="9" t="inlineStr">
        <is>
          <t>بله</t>
        </is>
      </c>
    </row>
    <row r="274">
      <c r="A274" s="9" t="inlineStr">
        <is>
          <t>1405-0273</t>
        </is>
      </c>
      <c r="B274" s="9" t="inlineStr">
        <is>
          <t>رستگار صنعت پارس</t>
        </is>
      </c>
      <c r="C274" s="9" t="inlineStr">
        <is>
          <t>پایان ماه</t>
        </is>
      </c>
      <c r="D274" s="9" t="inlineStr">
        <is>
          <t>مغایرت‌گیری بانکی ماه بهمن</t>
        </is>
      </c>
      <c r="E274" s="9" t="inlineStr">
        <is>
          <t>ماهانه</t>
        </is>
      </c>
      <c r="F274" s="9" t="inlineStr">
        <is>
          <t>بهمن</t>
        </is>
      </c>
      <c r="G274" s="10" t="n">
        <v>46442</v>
      </c>
      <c r="H274" s="9" t="inlineStr">
        <is>
          <t>1405/12/05</t>
        </is>
      </c>
      <c r="I274" s="9" t="n">
        <v>5</v>
      </c>
      <c r="J274" s="10">
        <f>IF(G274="","",G274-I274)</f>
        <v/>
      </c>
      <c r="K274" s="9" t="inlineStr">
        <is>
          <t>بالا</t>
        </is>
      </c>
      <c r="L274" s="9" t="inlineStr">
        <is>
          <t>باز</t>
        </is>
      </c>
      <c r="M274" s="9">
        <f>IF(D274="","",IF(L274="انجام شده","انجام شده",IF(L274="لغو شده","لغو شده",IF(G274&lt;TODAY(),"عقب‌افتاده",IF(G274=TODAY(),"امروز",IF(G274&lt;=TODAY()+7,"تا ۷ روز",IF(G274&lt;=TODAY()+15,"تا ۱۵ روز","آینده")))))))</f>
        <v/>
      </c>
      <c r="N274" s="9" t="inlineStr"/>
      <c r="O274" s="9" t="n">
        <v>0</v>
      </c>
      <c r="P274" s="10" t="n"/>
      <c r="Q274" s="9" t="inlineStr"/>
      <c r="R274" s="9" t="inlineStr">
        <is>
          <t>پیش‌فرض 1405</t>
        </is>
      </c>
      <c r="S274" s="9" t="inlineStr">
        <is>
          <t>T101</t>
        </is>
      </c>
      <c r="T274" s="9" t="inlineStr">
        <is>
          <t>بله</t>
        </is>
      </c>
    </row>
    <row r="275">
      <c r="A275" s="9" t="inlineStr">
        <is>
          <t>1405-0274</t>
        </is>
      </c>
      <c r="B275" s="9" t="inlineStr">
        <is>
          <t>رستگار صنعت پارس</t>
        </is>
      </c>
      <c r="C275" s="9" t="inlineStr">
        <is>
          <t>پایان ماه</t>
        </is>
      </c>
      <c r="D275" s="9" t="inlineStr">
        <is>
          <t>کنترل نهایی اسناد ماه بهمن</t>
        </is>
      </c>
      <c r="E275" s="9" t="inlineStr">
        <is>
          <t>ماهانه</t>
        </is>
      </c>
      <c r="F275" s="9" t="inlineStr">
        <is>
          <t>بهمن</t>
        </is>
      </c>
      <c r="G275" s="10" t="n">
        <v>46444</v>
      </c>
      <c r="H275" s="9" t="inlineStr">
        <is>
          <t>1405/12/07</t>
        </is>
      </c>
      <c r="I275" s="9" t="n">
        <v>5</v>
      </c>
      <c r="J275" s="10">
        <f>IF(G275="","",G275-I275)</f>
        <v/>
      </c>
      <c r="K275" s="9" t="inlineStr">
        <is>
          <t>بالا</t>
        </is>
      </c>
      <c r="L275" s="9" t="inlineStr">
        <is>
          <t>باز</t>
        </is>
      </c>
      <c r="M275" s="9">
        <f>IF(D275="","",IF(L275="انجام شده","انجام شده",IF(L275="لغو شده","لغو شده",IF(G275&lt;TODAY(),"عقب‌افتاده",IF(G275=TODAY(),"امروز",IF(G275&lt;=TODAY()+7,"تا ۷ روز",IF(G275&lt;=TODAY()+15,"تا ۱۵ روز","آینده")))))))</f>
        <v/>
      </c>
      <c r="N275" s="9" t="inlineStr"/>
      <c r="O275" s="9" t="n">
        <v>0</v>
      </c>
      <c r="P275" s="10" t="n"/>
      <c r="Q275" s="9" t="inlineStr"/>
      <c r="R275" s="9" t="inlineStr">
        <is>
          <t>پیش‌فرض 1405</t>
        </is>
      </c>
      <c r="S275" s="9" t="inlineStr">
        <is>
          <t>T102</t>
        </is>
      </c>
      <c r="T275" s="9" t="inlineStr">
        <is>
          <t>بله</t>
        </is>
      </c>
    </row>
    <row r="276">
      <c r="A276" s="9" t="inlineStr">
        <is>
          <t>1405-0275</t>
        </is>
      </c>
      <c r="B276" s="9" t="inlineStr">
        <is>
          <t>رستگار صنعت پارس</t>
        </is>
      </c>
      <c r="C276" s="9" t="inlineStr">
        <is>
          <t>پایان ماه</t>
        </is>
      </c>
      <c r="D276" s="9" t="inlineStr">
        <is>
          <t>بستن حساب‌های ماه بهمن و کنترل مانده‌ها</t>
        </is>
      </c>
      <c r="E276" s="9" t="inlineStr">
        <is>
          <t>ماهانه</t>
        </is>
      </c>
      <c r="F276" s="9" t="inlineStr">
        <is>
          <t>بهمن</t>
        </is>
      </c>
      <c r="G276" s="10" t="n">
        <v>46447</v>
      </c>
      <c r="H276" s="9" t="inlineStr">
        <is>
          <t>1405/12/10</t>
        </is>
      </c>
      <c r="I276" s="9" t="n">
        <v>7</v>
      </c>
      <c r="J276" s="10">
        <f>IF(G276="","",G276-I276)</f>
        <v/>
      </c>
      <c r="K276" s="9" t="inlineStr">
        <is>
          <t>بالا</t>
        </is>
      </c>
      <c r="L276" s="9" t="inlineStr">
        <is>
          <t>باز</t>
        </is>
      </c>
      <c r="M276" s="9">
        <f>IF(D276="","",IF(L276="انجام شده","انجام شده",IF(L276="لغو شده","لغو شده",IF(G276&lt;TODAY(),"عقب‌افتاده",IF(G276=TODAY(),"امروز",IF(G276&lt;=TODAY()+7,"تا ۷ روز",IF(G276&lt;=TODAY()+15,"تا ۱۵ روز","آینده")))))))</f>
        <v/>
      </c>
      <c r="N276" s="9" t="inlineStr"/>
      <c r="O276" s="9" t="n">
        <v>0</v>
      </c>
      <c r="P276" s="10" t="n"/>
      <c r="Q276" s="9" t="inlineStr"/>
      <c r="R276" s="9" t="inlineStr">
        <is>
          <t>پیش‌فرض 1405</t>
        </is>
      </c>
      <c r="S276" s="9" t="inlineStr">
        <is>
          <t>T103</t>
        </is>
      </c>
      <c r="T276" s="9" t="inlineStr">
        <is>
          <t>بله</t>
        </is>
      </c>
    </row>
    <row r="277">
      <c r="A277" s="9" t="inlineStr">
        <is>
          <t>1405-0276</t>
        </is>
      </c>
      <c r="B277" s="9" t="inlineStr">
        <is>
          <t>رستگار صنعت پارس</t>
        </is>
      </c>
      <c r="C277" s="9" t="inlineStr">
        <is>
          <t>گزارش</t>
        </is>
      </c>
      <c r="D277" s="9" t="inlineStr">
        <is>
          <t>تهیه گزارش مدیریت ماه بهمن</t>
        </is>
      </c>
      <c r="E277" s="9" t="inlineStr">
        <is>
          <t>ماهانه</t>
        </is>
      </c>
      <c r="F277" s="9" t="inlineStr">
        <is>
          <t>بهمن</t>
        </is>
      </c>
      <c r="G277" s="10" t="n">
        <v>46447</v>
      </c>
      <c r="H277" s="9" t="inlineStr">
        <is>
          <t>1405/12/10</t>
        </is>
      </c>
      <c r="I277" s="9" t="n">
        <v>5</v>
      </c>
      <c r="J277" s="10">
        <f>IF(G277="","",G277-I277)</f>
        <v/>
      </c>
      <c r="K277" s="9" t="inlineStr">
        <is>
          <t>متوسط</t>
        </is>
      </c>
      <c r="L277" s="9" t="inlineStr">
        <is>
          <t>باز</t>
        </is>
      </c>
      <c r="M277" s="9">
        <f>IF(D277="","",IF(L277="انجام شده","انجام شده",IF(L277="لغو شده","لغو شده",IF(G277&lt;TODAY(),"عقب‌افتاده",IF(G277=TODAY(),"امروز",IF(G277&lt;=TODAY()+7,"تا ۷ روز",IF(G277&lt;=TODAY()+15,"تا ۱۵ روز","آینده")))))))</f>
        <v/>
      </c>
      <c r="N277" s="9" t="inlineStr"/>
      <c r="O277" s="9" t="n">
        <v>0</v>
      </c>
      <c r="P277" s="10" t="n"/>
      <c r="Q277" s="9" t="inlineStr"/>
      <c r="R277" s="9" t="inlineStr">
        <is>
          <t>پیش‌فرض 1405</t>
        </is>
      </c>
      <c r="S277" s="9" t="inlineStr">
        <is>
          <t>T104</t>
        </is>
      </c>
      <c r="T277" s="9" t="inlineStr">
        <is>
          <t>بله</t>
        </is>
      </c>
    </row>
    <row r="278">
      <c r="A278" s="9" t="inlineStr">
        <is>
          <t>1405-0277</t>
        </is>
      </c>
      <c r="B278" s="9" t="inlineStr">
        <is>
          <t>رستگار صنعت پارس</t>
        </is>
      </c>
      <c r="C278" s="9" t="inlineStr">
        <is>
          <t>حقوق و دستمزد</t>
        </is>
      </c>
      <c r="D278" s="9" t="inlineStr">
        <is>
          <t>محاسبه حقوق و دستمزد ماه بهمن</t>
        </is>
      </c>
      <c r="E278" s="9" t="inlineStr">
        <is>
          <t>ماهانه</t>
        </is>
      </c>
      <c r="F278" s="9" t="inlineStr">
        <is>
          <t>بهمن</t>
        </is>
      </c>
      <c r="G278" s="10" t="n">
        <v>46435</v>
      </c>
      <c r="H278" s="9" t="inlineStr">
        <is>
          <t>1405/11/28</t>
        </is>
      </c>
      <c r="I278" s="9" t="n">
        <v>5</v>
      </c>
      <c r="J278" s="10">
        <f>IF(G278="","",G278-I278)</f>
        <v/>
      </c>
      <c r="K278" s="9" t="inlineStr">
        <is>
          <t>بالا</t>
        </is>
      </c>
      <c r="L278" s="9" t="inlineStr">
        <is>
          <t>باز</t>
        </is>
      </c>
      <c r="M278" s="9">
        <f>IF(D278="","",IF(L278="انجام شده","انجام شده",IF(L278="لغو شده","لغو شده",IF(G278&lt;TODAY(),"عقب‌افتاده",IF(G278=TODAY(),"امروز",IF(G278&lt;=TODAY()+7,"تا ۷ روز",IF(G278&lt;=TODAY()+15,"تا ۱۵ روز","آینده")))))))</f>
        <v/>
      </c>
      <c r="N278" s="9" t="inlineStr"/>
      <c r="O278" s="9" t="n">
        <v>0</v>
      </c>
      <c r="P278" s="10" t="n"/>
      <c r="Q278" s="9" t="inlineStr"/>
      <c r="R278" s="9" t="inlineStr">
        <is>
          <t>پیش‌فرض 1405</t>
        </is>
      </c>
      <c r="S278" s="9" t="inlineStr">
        <is>
          <t>T105</t>
        </is>
      </c>
      <c r="T278" s="9" t="inlineStr">
        <is>
          <t>بله</t>
        </is>
      </c>
    </row>
    <row r="279">
      <c r="A279" s="9" t="inlineStr">
        <is>
          <t>1405-0278</t>
        </is>
      </c>
      <c r="B279" s="9" t="inlineStr">
        <is>
          <t>رستگار صنعت پارس</t>
        </is>
      </c>
      <c r="C279" s="9" t="inlineStr">
        <is>
          <t>حقوق و دستمزد</t>
        </is>
      </c>
      <c r="D279" s="9" t="inlineStr">
        <is>
          <t>ارسال/پرداخت لیست بیمه ماه بهمن</t>
        </is>
      </c>
      <c r="E279" s="9" t="inlineStr">
        <is>
          <t>ماهانه</t>
        </is>
      </c>
      <c r="F279" s="9" t="inlineStr">
        <is>
          <t>بهمن</t>
        </is>
      </c>
      <c r="G279" s="10" t="n">
        <v>46466</v>
      </c>
      <c r="H279" s="9" t="inlineStr">
        <is>
          <t>1405/12/29</t>
        </is>
      </c>
      <c r="I279" s="9" t="n">
        <v>7</v>
      </c>
      <c r="J279" s="10">
        <f>IF(G279="","",G279-I279)</f>
        <v/>
      </c>
      <c r="K279" s="9" t="inlineStr">
        <is>
          <t>خیلی بالا</t>
        </is>
      </c>
      <c r="L279" s="9" t="inlineStr">
        <is>
          <t>باز</t>
        </is>
      </c>
      <c r="M279" s="9">
        <f>IF(D279="","",IF(L279="انجام شده","انجام شده",IF(L279="لغو شده","لغو شده",IF(G279&lt;TODAY(),"عقب‌افتاده",IF(G279=TODAY(),"امروز",IF(G279&lt;=TODAY()+7,"تا ۷ روز",IF(G279&lt;=TODAY()+15,"تا ۱۵ روز","آینده")))))))</f>
        <v/>
      </c>
      <c r="N279" s="9" t="inlineStr"/>
      <c r="O279" s="9" t="n">
        <v>0</v>
      </c>
      <c r="P279" s="10" t="n"/>
      <c r="Q279" s="9" t="inlineStr"/>
      <c r="R279" s="9" t="inlineStr">
        <is>
          <t>پیش‌فرض 1405</t>
        </is>
      </c>
      <c r="S279" s="9" t="inlineStr">
        <is>
          <t>T106</t>
        </is>
      </c>
      <c r="T279" s="9" t="inlineStr">
        <is>
          <t>بله</t>
        </is>
      </c>
    </row>
    <row r="280">
      <c r="A280" s="9" t="inlineStr">
        <is>
          <t>1405-0279</t>
        </is>
      </c>
      <c r="B280" s="9" t="inlineStr">
        <is>
          <t>رستگار صنعت پارس</t>
        </is>
      </c>
      <c r="C280" s="9" t="inlineStr">
        <is>
          <t>حقوق و دستمزد</t>
        </is>
      </c>
      <c r="D280" s="9" t="inlineStr">
        <is>
          <t>ارسال/پرداخت مالیات حقوق ماه بهمن</t>
        </is>
      </c>
      <c r="E280" s="9" t="inlineStr">
        <is>
          <t>ماهانه</t>
        </is>
      </c>
      <c r="F280" s="9" t="inlineStr">
        <is>
          <t>بهمن</t>
        </is>
      </c>
      <c r="G280" s="10" t="n">
        <v>46466</v>
      </c>
      <c r="H280" s="9" t="inlineStr">
        <is>
          <t>1405/12/29</t>
        </is>
      </c>
      <c r="I280" s="9" t="n">
        <v>7</v>
      </c>
      <c r="J280" s="10">
        <f>IF(G280="","",G280-I280)</f>
        <v/>
      </c>
      <c r="K280" s="9" t="inlineStr">
        <is>
          <t>خیلی بالا</t>
        </is>
      </c>
      <c r="L280" s="9" t="inlineStr">
        <is>
          <t>باز</t>
        </is>
      </c>
      <c r="M280" s="9">
        <f>IF(D280="","",IF(L280="انجام شده","انجام شده",IF(L280="لغو شده","لغو شده",IF(G280&lt;TODAY(),"عقب‌افتاده",IF(G280=TODAY(),"امروز",IF(G280&lt;=TODAY()+7,"تا ۷ روز",IF(G280&lt;=TODAY()+15,"تا ۱۵ روز","آینده")))))))</f>
        <v/>
      </c>
      <c r="N280" s="9" t="inlineStr"/>
      <c r="O280" s="9" t="n">
        <v>0</v>
      </c>
      <c r="P280" s="10" t="n"/>
      <c r="Q280" s="9" t="inlineStr"/>
      <c r="R280" s="9" t="inlineStr">
        <is>
          <t>پیش‌فرض 1405</t>
        </is>
      </c>
      <c r="S280" s="9" t="inlineStr">
        <is>
          <t>T107</t>
        </is>
      </c>
      <c r="T280" s="9" t="inlineStr">
        <is>
          <t>بله</t>
        </is>
      </c>
    </row>
    <row r="281">
      <c r="A281" s="9" t="inlineStr">
        <is>
          <t>1405-0280</t>
        </is>
      </c>
      <c r="B281" s="9" t="inlineStr">
        <is>
          <t>رستگار صنعت پارس</t>
        </is>
      </c>
      <c r="C281" s="9" t="inlineStr">
        <is>
          <t>بایگانی</t>
        </is>
      </c>
      <c r="D281" s="9" t="inlineStr">
        <is>
          <t>بایگانی مدارک و اسناد ماه بهمن</t>
        </is>
      </c>
      <c r="E281" s="9" t="inlineStr">
        <is>
          <t>ماهانه</t>
        </is>
      </c>
      <c r="F281" s="9" t="inlineStr">
        <is>
          <t>بهمن</t>
        </is>
      </c>
      <c r="G281" s="10" t="n">
        <v>46452</v>
      </c>
      <c r="H281" s="9" t="inlineStr">
        <is>
          <t>1405/12/15</t>
        </is>
      </c>
      <c r="I281" s="9" t="n">
        <v>3</v>
      </c>
      <c r="J281" s="10">
        <f>IF(G281="","",G281-I281)</f>
        <v/>
      </c>
      <c r="K281" s="9" t="inlineStr">
        <is>
          <t>متوسط</t>
        </is>
      </c>
      <c r="L281" s="9" t="inlineStr">
        <is>
          <t>باز</t>
        </is>
      </c>
      <c r="M281" s="9">
        <f>IF(D281="","",IF(L281="انجام شده","انجام شده",IF(L281="لغو شده","لغو شده",IF(G281&lt;TODAY(),"عقب‌افتاده",IF(G281=TODAY(),"امروز",IF(G281&lt;=TODAY()+7,"تا ۷ روز",IF(G281&lt;=TODAY()+15,"تا ۱۵ روز","آینده")))))))</f>
        <v/>
      </c>
      <c r="N281" s="9" t="inlineStr"/>
      <c r="O281" s="9" t="n">
        <v>0</v>
      </c>
      <c r="P281" s="10" t="n"/>
      <c r="Q281" s="9" t="inlineStr"/>
      <c r="R281" s="9" t="inlineStr">
        <is>
          <t>پیش‌فرض 1405</t>
        </is>
      </c>
      <c r="S281" s="9" t="inlineStr">
        <is>
          <t>T108</t>
        </is>
      </c>
      <c r="T281" s="9" t="inlineStr">
        <is>
          <t>بله</t>
        </is>
      </c>
    </row>
    <row r="282">
      <c r="A282" s="9" t="inlineStr">
        <is>
          <t>1405-0281</t>
        </is>
      </c>
      <c r="B282" s="9" t="inlineStr">
        <is>
          <t>رستگار صنعت پارس</t>
        </is>
      </c>
      <c r="C282" s="9" t="inlineStr">
        <is>
          <t>پایان ماه</t>
        </is>
      </c>
      <c r="D282" s="9" t="inlineStr">
        <is>
          <t>مغایرت‌گیری بانکی ماه اسفند</t>
        </is>
      </c>
      <c r="E282" s="9" t="inlineStr">
        <is>
          <t>ماهانه</t>
        </is>
      </c>
      <c r="F282" s="9" t="inlineStr">
        <is>
          <t>اسفند</t>
        </is>
      </c>
      <c r="G282" s="10" t="n">
        <v>46471</v>
      </c>
      <c r="H282" s="9" t="inlineStr">
        <is>
          <t>1406/01/05</t>
        </is>
      </c>
      <c r="I282" s="9" t="n">
        <v>5</v>
      </c>
      <c r="J282" s="10">
        <f>IF(G282="","",G282-I282)</f>
        <v/>
      </c>
      <c r="K282" s="9" t="inlineStr">
        <is>
          <t>بالا</t>
        </is>
      </c>
      <c r="L282" s="9" t="inlineStr">
        <is>
          <t>باز</t>
        </is>
      </c>
      <c r="M282" s="9">
        <f>IF(D282="","",IF(L282="انجام شده","انجام شده",IF(L282="لغو شده","لغو شده",IF(G282&lt;TODAY(),"عقب‌افتاده",IF(G282=TODAY(),"امروز",IF(G282&lt;=TODAY()+7,"تا ۷ روز",IF(G282&lt;=TODAY()+15,"تا ۱۵ روز","آینده")))))))</f>
        <v/>
      </c>
      <c r="N282" s="9" t="inlineStr"/>
      <c r="O282" s="9" t="n">
        <v>0</v>
      </c>
      <c r="P282" s="10" t="n"/>
      <c r="Q282" s="9" t="inlineStr"/>
      <c r="R282" s="9" t="inlineStr">
        <is>
          <t>پیش‌فرض 1405</t>
        </is>
      </c>
      <c r="S282" s="9" t="inlineStr">
        <is>
          <t>T101</t>
        </is>
      </c>
      <c r="T282" s="9" t="inlineStr">
        <is>
          <t>بله</t>
        </is>
      </c>
    </row>
    <row r="283">
      <c r="A283" s="9" t="inlineStr">
        <is>
          <t>1405-0282</t>
        </is>
      </c>
      <c r="B283" s="9" t="inlineStr">
        <is>
          <t>رستگار صنعت پارس</t>
        </is>
      </c>
      <c r="C283" s="9" t="inlineStr">
        <is>
          <t>پایان ماه</t>
        </is>
      </c>
      <c r="D283" s="9" t="inlineStr">
        <is>
          <t>کنترل نهایی اسناد ماه اسفند</t>
        </is>
      </c>
      <c r="E283" s="9" t="inlineStr">
        <is>
          <t>ماهانه</t>
        </is>
      </c>
      <c r="F283" s="9" t="inlineStr">
        <is>
          <t>اسفند</t>
        </is>
      </c>
      <c r="G283" s="10" t="n">
        <v>46473</v>
      </c>
      <c r="H283" s="9" t="inlineStr">
        <is>
          <t>1406/01/07</t>
        </is>
      </c>
      <c r="I283" s="9" t="n">
        <v>5</v>
      </c>
      <c r="J283" s="10">
        <f>IF(G283="","",G283-I283)</f>
        <v/>
      </c>
      <c r="K283" s="9" t="inlineStr">
        <is>
          <t>بالا</t>
        </is>
      </c>
      <c r="L283" s="9" t="inlineStr">
        <is>
          <t>باز</t>
        </is>
      </c>
      <c r="M283" s="9">
        <f>IF(D283="","",IF(L283="انجام شده","انجام شده",IF(L283="لغو شده","لغو شده",IF(G283&lt;TODAY(),"عقب‌افتاده",IF(G283=TODAY(),"امروز",IF(G283&lt;=TODAY()+7,"تا ۷ روز",IF(G283&lt;=TODAY()+15,"تا ۱۵ روز","آینده")))))))</f>
        <v/>
      </c>
      <c r="N283" s="9" t="inlineStr"/>
      <c r="O283" s="9" t="n">
        <v>0</v>
      </c>
      <c r="P283" s="10" t="n"/>
      <c r="Q283" s="9" t="inlineStr"/>
      <c r="R283" s="9" t="inlineStr">
        <is>
          <t>پیش‌فرض 1405</t>
        </is>
      </c>
      <c r="S283" s="9" t="inlineStr">
        <is>
          <t>T102</t>
        </is>
      </c>
      <c r="T283" s="9" t="inlineStr">
        <is>
          <t>بله</t>
        </is>
      </c>
    </row>
    <row r="284">
      <c r="A284" s="9" t="inlineStr">
        <is>
          <t>1405-0283</t>
        </is>
      </c>
      <c r="B284" s="9" t="inlineStr">
        <is>
          <t>رستگار صنعت پارس</t>
        </is>
      </c>
      <c r="C284" s="9" t="inlineStr">
        <is>
          <t>پایان ماه</t>
        </is>
      </c>
      <c r="D284" s="9" t="inlineStr">
        <is>
          <t>بستن حساب‌های ماه اسفند و کنترل مانده‌ها</t>
        </is>
      </c>
      <c r="E284" s="9" t="inlineStr">
        <is>
          <t>ماهانه</t>
        </is>
      </c>
      <c r="F284" s="9" t="inlineStr">
        <is>
          <t>اسفند</t>
        </is>
      </c>
      <c r="G284" s="10" t="n">
        <v>46476</v>
      </c>
      <c r="H284" s="9" t="inlineStr">
        <is>
          <t>1406/01/10</t>
        </is>
      </c>
      <c r="I284" s="9" t="n">
        <v>7</v>
      </c>
      <c r="J284" s="10">
        <f>IF(G284="","",G284-I284)</f>
        <v/>
      </c>
      <c r="K284" s="9" t="inlineStr">
        <is>
          <t>بالا</t>
        </is>
      </c>
      <c r="L284" s="9" t="inlineStr">
        <is>
          <t>باز</t>
        </is>
      </c>
      <c r="M284" s="9">
        <f>IF(D284="","",IF(L284="انجام شده","انجام شده",IF(L284="لغو شده","لغو شده",IF(G284&lt;TODAY(),"عقب‌افتاده",IF(G284=TODAY(),"امروز",IF(G284&lt;=TODAY()+7,"تا ۷ روز",IF(G284&lt;=TODAY()+15,"تا ۱۵ روز","آینده")))))))</f>
        <v/>
      </c>
      <c r="N284" s="9" t="inlineStr"/>
      <c r="O284" s="9" t="n">
        <v>0</v>
      </c>
      <c r="P284" s="10" t="n"/>
      <c r="Q284" s="9" t="inlineStr"/>
      <c r="R284" s="9" t="inlineStr">
        <is>
          <t>پیش‌فرض 1405</t>
        </is>
      </c>
      <c r="S284" s="9" t="inlineStr">
        <is>
          <t>T103</t>
        </is>
      </c>
      <c r="T284" s="9" t="inlineStr">
        <is>
          <t>بله</t>
        </is>
      </c>
    </row>
    <row r="285">
      <c r="A285" s="9" t="inlineStr">
        <is>
          <t>1405-0284</t>
        </is>
      </c>
      <c r="B285" s="9" t="inlineStr">
        <is>
          <t>رستگار صنعت پارس</t>
        </is>
      </c>
      <c r="C285" s="9" t="inlineStr">
        <is>
          <t>گزارش</t>
        </is>
      </c>
      <c r="D285" s="9" t="inlineStr">
        <is>
          <t>تهیه گزارش مدیریت ماه اسفند</t>
        </is>
      </c>
      <c r="E285" s="9" t="inlineStr">
        <is>
          <t>ماهانه</t>
        </is>
      </c>
      <c r="F285" s="9" t="inlineStr">
        <is>
          <t>اسفند</t>
        </is>
      </c>
      <c r="G285" s="10" t="n">
        <v>46476</v>
      </c>
      <c r="H285" s="9" t="inlineStr">
        <is>
          <t>1406/01/10</t>
        </is>
      </c>
      <c r="I285" s="9" t="n">
        <v>5</v>
      </c>
      <c r="J285" s="10">
        <f>IF(G285="","",G285-I285)</f>
        <v/>
      </c>
      <c r="K285" s="9" t="inlineStr">
        <is>
          <t>متوسط</t>
        </is>
      </c>
      <c r="L285" s="9" t="inlineStr">
        <is>
          <t>باز</t>
        </is>
      </c>
      <c r="M285" s="9">
        <f>IF(D285="","",IF(L285="انجام شده","انجام شده",IF(L285="لغو شده","لغو شده",IF(G285&lt;TODAY(),"عقب‌افتاده",IF(G285=TODAY(),"امروز",IF(G285&lt;=TODAY()+7,"تا ۷ روز",IF(G285&lt;=TODAY()+15,"تا ۱۵ روز","آینده")))))))</f>
        <v/>
      </c>
      <c r="N285" s="9" t="inlineStr"/>
      <c r="O285" s="9" t="n">
        <v>0</v>
      </c>
      <c r="P285" s="10" t="n"/>
      <c r="Q285" s="9" t="inlineStr"/>
      <c r="R285" s="9" t="inlineStr">
        <is>
          <t>پیش‌فرض 1405</t>
        </is>
      </c>
      <c r="S285" s="9" t="inlineStr">
        <is>
          <t>T104</t>
        </is>
      </c>
      <c r="T285" s="9" t="inlineStr">
        <is>
          <t>بله</t>
        </is>
      </c>
    </row>
    <row r="286">
      <c r="A286" s="9" t="inlineStr">
        <is>
          <t>1405-0285</t>
        </is>
      </c>
      <c r="B286" s="9" t="inlineStr">
        <is>
          <t>رستگار صنعت پارس</t>
        </is>
      </c>
      <c r="C286" s="9" t="inlineStr">
        <is>
          <t>حقوق و دستمزد</t>
        </is>
      </c>
      <c r="D286" s="9" t="inlineStr">
        <is>
          <t>محاسبه حقوق و دستمزد ماه اسفند</t>
        </is>
      </c>
      <c r="E286" s="9" t="inlineStr">
        <is>
          <t>ماهانه</t>
        </is>
      </c>
      <c r="F286" s="9" t="inlineStr">
        <is>
          <t>اسفند</t>
        </is>
      </c>
      <c r="G286" s="10" t="n">
        <v>46465</v>
      </c>
      <c r="H286" s="9" t="inlineStr">
        <is>
          <t>1405/12/28</t>
        </is>
      </c>
      <c r="I286" s="9" t="n">
        <v>5</v>
      </c>
      <c r="J286" s="10">
        <f>IF(G286="","",G286-I286)</f>
        <v/>
      </c>
      <c r="K286" s="9" t="inlineStr">
        <is>
          <t>بالا</t>
        </is>
      </c>
      <c r="L286" s="9" t="inlineStr">
        <is>
          <t>باز</t>
        </is>
      </c>
      <c r="M286" s="9">
        <f>IF(D286="","",IF(L286="انجام شده","انجام شده",IF(L286="لغو شده","لغو شده",IF(G286&lt;TODAY(),"عقب‌افتاده",IF(G286=TODAY(),"امروز",IF(G286&lt;=TODAY()+7,"تا ۷ روز",IF(G286&lt;=TODAY()+15,"تا ۱۵ روز","آینده")))))))</f>
        <v/>
      </c>
      <c r="N286" s="9" t="inlineStr"/>
      <c r="O286" s="9" t="n">
        <v>0</v>
      </c>
      <c r="P286" s="10" t="n"/>
      <c r="Q286" s="9" t="inlineStr"/>
      <c r="R286" s="9" t="inlineStr">
        <is>
          <t>پیش‌فرض 1405</t>
        </is>
      </c>
      <c r="S286" s="9" t="inlineStr">
        <is>
          <t>T105</t>
        </is>
      </c>
      <c r="T286" s="9" t="inlineStr">
        <is>
          <t>بله</t>
        </is>
      </c>
    </row>
    <row r="287">
      <c r="A287" s="9" t="inlineStr">
        <is>
          <t>1405-0286</t>
        </is>
      </c>
      <c r="B287" s="9" t="inlineStr">
        <is>
          <t>رستگار صنعت پارس</t>
        </is>
      </c>
      <c r="C287" s="9" t="inlineStr">
        <is>
          <t>حقوق و دستمزد</t>
        </is>
      </c>
      <c r="D287" s="9" t="inlineStr">
        <is>
          <t>ارسال/پرداخت لیست بیمه ماه اسفند</t>
        </is>
      </c>
      <c r="E287" s="9" t="inlineStr">
        <is>
          <t>ماهانه</t>
        </is>
      </c>
      <c r="F287" s="9" t="inlineStr">
        <is>
          <t>اسفند</t>
        </is>
      </c>
      <c r="G287" s="10" t="n">
        <v>46497</v>
      </c>
      <c r="H287" s="9" t="inlineStr">
        <is>
          <t>1406/01/31</t>
        </is>
      </c>
      <c r="I287" s="9" t="n">
        <v>7</v>
      </c>
      <c r="J287" s="10">
        <f>IF(G287="","",G287-I287)</f>
        <v/>
      </c>
      <c r="K287" s="9" t="inlineStr">
        <is>
          <t>خیلی بالا</t>
        </is>
      </c>
      <c r="L287" s="9" t="inlineStr">
        <is>
          <t>باز</t>
        </is>
      </c>
      <c r="M287" s="9">
        <f>IF(D287="","",IF(L287="انجام شده","انجام شده",IF(L287="لغو شده","لغو شده",IF(G287&lt;TODAY(),"عقب‌افتاده",IF(G287=TODAY(),"امروز",IF(G287&lt;=TODAY()+7,"تا ۷ روز",IF(G287&lt;=TODAY()+15,"تا ۱۵ روز","آینده")))))))</f>
        <v/>
      </c>
      <c r="N287" s="9" t="inlineStr"/>
      <c r="O287" s="9" t="n">
        <v>0</v>
      </c>
      <c r="P287" s="10" t="n"/>
      <c r="Q287" s="9" t="inlineStr"/>
      <c r="R287" s="9" t="inlineStr">
        <is>
          <t>پیش‌فرض 1405</t>
        </is>
      </c>
      <c r="S287" s="9" t="inlineStr">
        <is>
          <t>T106</t>
        </is>
      </c>
      <c r="T287" s="9" t="inlineStr">
        <is>
          <t>بله</t>
        </is>
      </c>
    </row>
    <row r="288">
      <c r="A288" s="9" t="inlineStr">
        <is>
          <t>1405-0287</t>
        </is>
      </c>
      <c r="B288" s="9" t="inlineStr">
        <is>
          <t>رستگار صنعت پارس</t>
        </is>
      </c>
      <c r="C288" s="9" t="inlineStr">
        <is>
          <t>حقوق و دستمزد</t>
        </is>
      </c>
      <c r="D288" s="9" t="inlineStr">
        <is>
          <t>ارسال/پرداخت مالیات حقوق ماه اسفند</t>
        </is>
      </c>
      <c r="E288" s="9" t="inlineStr">
        <is>
          <t>ماهانه</t>
        </is>
      </c>
      <c r="F288" s="9" t="inlineStr">
        <is>
          <t>اسفند</t>
        </is>
      </c>
      <c r="G288" s="10" t="n">
        <v>46497</v>
      </c>
      <c r="H288" s="9" t="inlineStr">
        <is>
          <t>1406/01/31</t>
        </is>
      </c>
      <c r="I288" s="9" t="n">
        <v>7</v>
      </c>
      <c r="J288" s="10">
        <f>IF(G288="","",G288-I288)</f>
        <v/>
      </c>
      <c r="K288" s="9" t="inlineStr">
        <is>
          <t>خیلی بالا</t>
        </is>
      </c>
      <c r="L288" s="9" t="inlineStr">
        <is>
          <t>باز</t>
        </is>
      </c>
      <c r="M288" s="9">
        <f>IF(D288="","",IF(L288="انجام شده","انجام شده",IF(L288="لغو شده","لغو شده",IF(G288&lt;TODAY(),"عقب‌افتاده",IF(G288=TODAY(),"امروز",IF(G288&lt;=TODAY()+7,"تا ۷ روز",IF(G288&lt;=TODAY()+15,"تا ۱۵ روز","آینده")))))))</f>
        <v/>
      </c>
      <c r="N288" s="9" t="inlineStr"/>
      <c r="O288" s="9" t="n">
        <v>0</v>
      </c>
      <c r="P288" s="10" t="n"/>
      <c r="Q288" s="9" t="inlineStr"/>
      <c r="R288" s="9" t="inlineStr">
        <is>
          <t>پیش‌فرض 1405</t>
        </is>
      </c>
      <c r="S288" s="9" t="inlineStr">
        <is>
          <t>T107</t>
        </is>
      </c>
      <c r="T288" s="9" t="inlineStr">
        <is>
          <t>بله</t>
        </is>
      </c>
    </row>
    <row r="289">
      <c r="A289" s="9" t="inlineStr">
        <is>
          <t>1405-0288</t>
        </is>
      </c>
      <c r="B289" s="9" t="inlineStr">
        <is>
          <t>رستگار صنعت پارس</t>
        </is>
      </c>
      <c r="C289" s="9" t="inlineStr">
        <is>
          <t>بایگانی</t>
        </is>
      </c>
      <c r="D289" s="9" t="inlineStr">
        <is>
          <t>بایگانی مدارک و اسناد ماه اسفند</t>
        </is>
      </c>
      <c r="E289" s="9" t="inlineStr">
        <is>
          <t>ماهانه</t>
        </is>
      </c>
      <c r="F289" s="9" t="inlineStr">
        <is>
          <t>اسفند</t>
        </is>
      </c>
      <c r="G289" s="10" t="n">
        <v>46481</v>
      </c>
      <c r="H289" s="9" t="inlineStr">
        <is>
          <t>1406/01/15</t>
        </is>
      </c>
      <c r="I289" s="9" t="n">
        <v>3</v>
      </c>
      <c r="J289" s="10">
        <f>IF(G289="","",G289-I289)</f>
        <v/>
      </c>
      <c r="K289" s="9" t="inlineStr">
        <is>
          <t>متوسط</t>
        </is>
      </c>
      <c r="L289" s="9" t="inlineStr">
        <is>
          <t>باز</t>
        </is>
      </c>
      <c r="M289" s="9">
        <f>IF(D289="","",IF(L289="انجام شده","انجام شده",IF(L289="لغو شده","لغو شده",IF(G289&lt;TODAY(),"عقب‌افتاده",IF(G289=TODAY(),"امروز",IF(G289&lt;=TODAY()+7,"تا ۷ روز",IF(G289&lt;=TODAY()+15,"تا ۱۵ روز","آینده")))))))</f>
        <v/>
      </c>
      <c r="N289" s="9" t="inlineStr"/>
      <c r="O289" s="9" t="n">
        <v>0</v>
      </c>
      <c r="P289" s="10" t="n"/>
      <c r="Q289" s="9" t="inlineStr"/>
      <c r="R289" s="9" t="inlineStr">
        <is>
          <t>پیش‌فرض 1405</t>
        </is>
      </c>
      <c r="S289" s="9" t="inlineStr">
        <is>
          <t>T108</t>
        </is>
      </c>
      <c r="T289" s="9" t="inlineStr">
        <is>
          <t>بله</t>
        </is>
      </c>
    </row>
    <row r="290">
      <c r="A290" s="9" t="inlineStr">
        <is>
          <t>1405-0289</t>
        </is>
      </c>
      <c r="B290" s="9" t="inlineStr">
        <is>
          <t>کیوان الکترونیک ایرانیان</t>
        </is>
      </c>
      <c r="C290" s="9" t="inlineStr">
        <is>
          <t>پایان ماه</t>
        </is>
      </c>
      <c r="D290" s="9" t="inlineStr">
        <is>
          <t>مغایرت‌گیری بانکی ماه فروردین</t>
        </is>
      </c>
      <c r="E290" s="9" t="inlineStr">
        <is>
          <t>ماهانه</t>
        </is>
      </c>
      <c r="F290" s="9" t="inlineStr">
        <is>
          <t>فروردین</t>
        </is>
      </c>
      <c r="G290" s="10" t="n">
        <v>46137</v>
      </c>
      <c r="H290" s="9" t="inlineStr">
        <is>
          <t>1405/02/05</t>
        </is>
      </c>
      <c r="I290" s="9" t="n">
        <v>5</v>
      </c>
      <c r="J290" s="10">
        <f>IF(G290="","",G290-I290)</f>
        <v/>
      </c>
      <c r="K290" s="9" t="inlineStr">
        <is>
          <t>بالا</t>
        </is>
      </c>
      <c r="L290" s="9" t="inlineStr">
        <is>
          <t>باز</t>
        </is>
      </c>
      <c r="M290" s="9">
        <f>IF(D290="","",IF(L290="انجام شده","انجام شده",IF(L290="لغو شده","لغو شده",IF(G290&lt;TODAY(),"عقب‌افتاده",IF(G290=TODAY(),"امروز",IF(G290&lt;=TODAY()+7,"تا ۷ روز",IF(G290&lt;=TODAY()+15,"تا ۱۵ روز","آینده")))))))</f>
        <v/>
      </c>
      <c r="N290" s="9" t="inlineStr"/>
      <c r="O290" s="9" t="n">
        <v>0</v>
      </c>
      <c r="P290" s="10" t="n"/>
      <c r="Q290" s="9" t="inlineStr"/>
      <c r="R290" s="9" t="inlineStr">
        <is>
          <t>پیش‌فرض 1405</t>
        </is>
      </c>
      <c r="S290" s="9" t="inlineStr">
        <is>
          <t>T101</t>
        </is>
      </c>
      <c r="T290" s="9" t="inlineStr">
        <is>
          <t>بله</t>
        </is>
      </c>
    </row>
    <row r="291">
      <c r="A291" s="9" t="inlineStr">
        <is>
          <t>1405-0290</t>
        </is>
      </c>
      <c r="B291" s="9" t="inlineStr">
        <is>
          <t>کیوان الکترونیک ایرانیان</t>
        </is>
      </c>
      <c r="C291" s="9" t="inlineStr">
        <is>
          <t>پایان ماه</t>
        </is>
      </c>
      <c r="D291" s="9" t="inlineStr">
        <is>
          <t>کنترل نهایی اسناد ماه فروردین</t>
        </is>
      </c>
      <c r="E291" s="9" t="inlineStr">
        <is>
          <t>ماهانه</t>
        </is>
      </c>
      <c r="F291" s="9" t="inlineStr">
        <is>
          <t>فروردین</t>
        </is>
      </c>
      <c r="G291" s="10" t="n">
        <v>46139</v>
      </c>
      <c r="H291" s="9" t="inlineStr">
        <is>
          <t>1405/02/07</t>
        </is>
      </c>
      <c r="I291" s="9" t="n">
        <v>5</v>
      </c>
      <c r="J291" s="10">
        <f>IF(G291="","",G291-I291)</f>
        <v/>
      </c>
      <c r="K291" s="9" t="inlineStr">
        <is>
          <t>بالا</t>
        </is>
      </c>
      <c r="L291" s="9" t="inlineStr">
        <is>
          <t>باز</t>
        </is>
      </c>
      <c r="M291" s="9">
        <f>IF(D291="","",IF(L291="انجام شده","انجام شده",IF(L291="لغو شده","لغو شده",IF(G291&lt;TODAY(),"عقب‌افتاده",IF(G291=TODAY(),"امروز",IF(G291&lt;=TODAY()+7,"تا ۷ روز",IF(G291&lt;=TODAY()+15,"تا ۱۵ روز","آینده")))))))</f>
        <v/>
      </c>
      <c r="N291" s="9" t="inlineStr"/>
      <c r="O291" s="9" t="n">
        <v>0</v>
      </c>
      <c r="P291" s="10" t="n"/>
      <c r="Q291" s="9" t="inlineStr"/>
      <c r="R291" s="9" t="inlineStr">
        <is>
          <t>پیش‌فرض 1405</t>
        </is>
      </c>
      <c r="S291" s="9" t="inlineStr">
        <is>
          <t>T102</t>
        </is>
      </c>
      <c r="T291" s="9" t="inlineStr">
        <is>
          <t>بله</t>
        </is>
      </c>
    </row>
    <row r="292">
      <c r="A292" s="9" t="inlineStr">
        <is>
          <t>1405-0291</t>
        </is>
      </c>
      <c r="B292" s="9" t="inlineStr">
        <is>
          <t>کیوان الکترونیک ایرانیان</t>
        </is>
      </c>
      <c r="C292" s="9" t="inlineStr">
        <is>
          <t>پایان ماه</t>
        </is>
      </c>
      <c r="D292" s="9" t="inlineStr">
        <is>
          <t>بستن حساب‌های ماه فروردین و کنترل مانده‌ها</t>
        </is>
      </c>
      <c r="E292" s="9" t="inlineStr">
        <is>
          <t>ماهانه</t>
        </is>
      </c>
      <c r="F292" s="9" t="inlineStr">
        <is>
          <t>فروردین</t>
        </is>
      </c>
      <c r="G292" s="10" t="n">
        <v>46142</v>
      </c>
      <c r="H292" s="9" t="inlineStr">
        <is>
          <t>1405/02/10</t>
        </is>
      </c>
      <c r="I292" s="9" t="n">
        <v>7</v>
      </c>
      <c r="J292" s="10">
        <f>IF(G292="","",G292-I292)</f>
        <v/>
      </c>
      <c r="K292" s="9" t="inlineStr">
        <is>
          <t>بالا</t>
        </is>
      </c>
      <c r="L292" s="9" t="inlineStr">
        <is>
          <t>باز</t>
        </is>
      </c>
      <c r="M292" s="9">
        <f>IF(D292="","",IF(L292="انجام شده","انجام شده",IF(L292="لغو شده","لغو شده",IF(G292&lt;TODAY(),"عقب‌افتاده",IF(G292=TODAY(),"امروز",IF(G292&lt;=TODAY()+7,"تا ۷ روز",IF(G292&lt;=TODAY()+15,"تا ۱۵ روز","آینده")))))))</f>
        <v/>
      </c>
      <c r="N292" s="9" t="inlineStr"/>
      <c r="O292" s="9" t="n">
        <v>0</v>
      </c>
      <c r="P292" s="10" t="n"/>
      <c r="Q292" s="9" t="inlineStr"/>
      <c r="R292" s="9" t="inlineStr">
        <is>
          <t>پیش‌فرض 1405</t>
        </is>
      </c>
      <c r="S292" s="9" t="inlineStr">
        <is>
          <t>T103</t>
        </is>
      </c>
      <c r="T292" s="9" t="inlineStr">
        <is>
          <t>بله</t>
        </is>
      </c>
    </row>
    <row r="293">
      <c r="A293" s="9" t="inlineStr">
        <is>
          <t>1405-0292</t>
        </is>
      </c>
      <c r="B293" s="9" t="inlineStr">
        <is>
          <t>کیوان الکترونیک ایرانیان</t>
        </is>
      </c>
      <c r="C293" s="9" t="inlineStr">
        <is>
          <t>گزارش</t>
        </is>
      </c>
      <c r="D293" s="9" t="inlineStr">
        <is>
          <t>تهیه گزارش مدیریت ماه فروردین</t>
        </is>
      </c>
      <c r="E293" s="9" t="inlineStr">
        <is>
          <t>ماهانه</t>
        </is>
      </c>
      <c r="F293" s="9" t="inlineStr">
        <is>
          <t>فروردین</t>
        </is>
      </c>
      <c r="G293" s="10" t="n">
        <v>46142</v>
      </c>
      <c r="H293" s="9" t="inlineStr">
        <is>
          <t>1405/02/10</t>
        </is>
      </c>
      <c r="I293" s="9" t="n">
        <v>5</v>
      </c>
      <c r="J293" s="10">
        <f>IF(G293="","",G293-I293)</f>
        <v/>
      </c>
      <c r="K293" s="9" t="inlineStr">
        <is>
          <t>متوسط</t>
        </is>
      </c>
      <c r="L293" s="9" t="inlineStr">
        <is>
          <t>باز</t>
        </is>
      </c>
      <c r="M293" s="9">
        <f>IF(D293="","",IF(L293="انجام شده","انجام شده",IF(L293="لغو شده","لغو شده",IF(G293&lt;TODAY(),"عقب‌افتاده",IF(G293=TODAY(),"امروز",IF(G293&lt;=TODAY()+7,"تا ۷ روز",IF(G293&lt;=TODAY()+15,"تا ۱۵ روز","آینده")))))))</f>
        <v/>
      </c>
      <c r="N293" s="9" t="inlineStr"/>
      <c r="O293" s="9" t="n">
        <v>0</v>
      </c>
      <c r="P293" s="10" t="n"/>
      <c r="Q293" s="9" t="inlineStr"/>
      <c r="R293" s="9" t="inlineStr">
        <is>
          <t>پیش‌فرض 1405</t>
        </is>
      </c>
      <c r="S293" s="9" t="inlineStr">
        <is>
          <t>T104</t>
        </is>
      </c>
      <c r="T293" s="9" t="inlineStr">
        <is>
          <t>بله</t>
        </is>
      </c>
    </row>
    <row r="294">
      <c r="A294" s="9" t="inlineStr">
        <is>
          <t>1405-0293</t>
        </is>
      </c>
      <c r="B294" s="9" t="inlineStr">
        <is>
          <t>کیوان الکترونیک ایرانیان</t>
        </is>
      </c>
      <c r="C294" s="9" t="inlineStr">
        <is>
          <t>حقوق و دستمزد</t>
        </is>
      </c>
      <c r="D294" s="9" t="inlineStr">
        <is>
          <t>محاسبه حقوق و دستمزد ماه فروردین</t>
        </is>
      </c>
      <c r="E294" s="9" t="inlineStr">
        <is>
          <t>ماهانه</t>
        </is>
      </c>
      <c r="F294" s="9" t="inlineStr">
        <is>
          <t>فروردین</t>
        </is>
      </c>
      <c r="G294" s="10" t="n">
        <v>46129</v>
      </c>
      <c r="H294" s="9" t="inlineStr">
        <is>
          <t>1405/01/28</t>
        </is>
      </c>
      <c r="I294" s="9" t="n">
        <v>5</v>
      </c>
      <c r="J294" s="10">
        <f>IF(G294="","",G294-I294)</f>
        <v/>
      </c>
      <c r="K294" s="9" t="inlineStr">
        <is>
          <t>بالا</t>
        </is>
      </c>
      <c r="L294" s="9" t="inlineStr">
        <is>
          <t>باز</t>
        </is>
      </c>
      <c r="M294" s="9">
        <f>IF(D294="","",IF(L294="انجام شده","انجام شده",IF(L294="لغو شده","لغو شده",IF(G294&lt;TODAY(),"عقب‌افتاده",IF(G294=TODAY(),"امروز",IF(G294&lt;=TODAY()+7,"تا ۷ روز",IF(G294&lt;=TODAY()+15,"تا ۱۵ روز","آینده")))))))</f>
        <v/>
      </c>
      <c r="N294" s="9" t="inlineStr"/>
      <c r="O294" s="9" t="n">
        <v>0</v>
      </c>
      <c r="P294" s="10" t="n"/>
      <c r="Q294" s="9" t="inlineStr"/>
      <c r="R294" s="9" t="inlineStr">
        <is>
          <t>پیش‌فرض 1405</t>
        </is>
      </c>
      <c r="S294" s="9" t="inlineStr">
        <is>
          <t>T105</t>
        </is>
      </c>
      <c r="T294" s="9" t="inlineStr">
        <is>
          <t>بله</t>
        </is>
      </c>
    </row>
    <row r="295">
      <c r="A295" s="9" t="inlineStr">
        <is>
          <t>1405-0294</t>
        </is>
      </c>
      <c r="B295" s="9" t="inlineStr">
        <is>
          <t>کیوان الکترونیک ایرانیان</t>
        </is>
      </c>
      <c r="C295" s="9" t="inlineStr">
        <is>
          <t>حقوق و دستمزد</t>
        </is>
      </c>
      <c r="D295" s="9" t="inlineStr">
        <is>
          <t>ارسال/پرداخت لیست بیمه ماه فروردین</t>
        </is>
      </c>
      <c r="E295" s="9" t="inlineStr">
        <is>
          <t>ماهانه</t>
        </is>
      </c>
      <c r="F295" s="9" t="inlineStr">
        <is>
          <t>فروردین</t>
        </is>
      </c>
      <c r="G295" s="10" t="n">
        <v>46163</v>
      </c>
      <c r="H295" s="9" t="inlineStr">
        <is>
          <t>1405/02/31</t>
        </is>
      </c>
      <c r="I295" s="9" t="n">
        <v>7</v>
      </c>
      <c r="J295" s="10">
        <f>IF(G295="","",G295-I295)</f>
        <v/>
      </c>
      <c r="K295" s="9" t="inlineStr">
        <is>
          <t>خیلی بالا</t>
        </is>
      </c>
      <c r="L295" s="9" t="inlineStr">
        <is>
          <t>باز</t>
        </is>
      </c>
      <c r="M295" s="9">
        <f>IF(D295="","",IF(L295="انجام شده","انجام شده",IF(L295="لغو شده","لغو شده",IF(G295&lt;TODAY(),"عقب‌افتاده",IF(G295=TODAY(),"امروز",IF(G295&lt;=TODAY()+7,"تا ۷ روز",IF(G295&lt;=TODAY()+15,"تا ۱۵ روز","آینده")))))))</f>
        <v/>
      </c>
      <c r="N295" s="9" t="inlineStr"/>
      <c r="O295" s="9" t="n">
        <v>0</v>
      </c>
      <c r="P295" s="10" t="n"/>
      <c r="Q295" s="9" t="inlineStr"/>
      <c r="R295" s="9" t="inlineStr">
        <is>
          <t>پیش‌فرض 1405</t>
        </is>
      </c>
      <c r="S295" s="9" t="inlineStr">
        <is>
          <t>T106</t>
        </is>
      </c>
      <c r="T295" s="9" t="inlineStr">
        <is>
          <t>بله</t>
        </is>
      </c>
    </row>
    <row r="296">
      <c r="A296" s="9" t="inlineStr">
        <is>
          <t>1405-0295</t>
        </is>
      </c>
      <c r="B296" s="9" t="inlineStr">
        <is>
          <t>کیوان الکترونیک ایرانیان</t>
        </is>
      </c>
      <c r="C296" s="9" t="inlineStr">
        <is>
          <t>حقوق و دستمزد</t>
        </is>
      </c>
      <c r="D296" s="9" t="inlineStr">
        <is>
          <t>ارسال/پرداخت مالیات حقوق ماه فروردین</t>
        </is>
      </c>
      <c r="E296" s="9" t="inlineStr">
        <is>
          <t>ماهانه</t>
        </is>
      </c>
      <c r="F296" s="9" t="inlineStr">
        <is>
          <t>فروردین</t>
        </is>
      </c>
      <c r="G296" s="10" t="n">
        <v>46163</v>
      </c>
      <c r="H296" s="9" t="inlineStr">
        <is>
          <t>1405/02/31</t>
        </is>
      </c>
      <c r="I296" s="9" t="n">
        <v>7</v>
      </c>
      <c r="J296" s="10">
        <f>IF(G296="","",G296-I296)</f>
        <v/>
      </c>
      <c r="K296" s="9" t="inlineStr">
        <is>
          <t>خیلی بالا</t>
        </is>
      </c>
      <c r="L296" s="9" t="inlineStr">
        <is>
          <t>باز</t>
        </is>
      </c>
      <c r="M296" s="9">
        <f>IF(D296="","",IF(L296="انجام شده","انجام شده",IF(L296="لغو شده","لغو شده",IF(G296&lt;TODAY(),"عقب‌افتاده",IF(G296=TODAY(),"امروز",IF(G296&lt;=TODAY()+7,"تا ۷ روز",IF(G296&lt;=TODAY()+15,"تا ۱۵ روز","آینده")))))))</f>
        <v/>
      </c>
      <c r="N296" s="9" t="inlineStr"/>
      <c r="O296" s="9" t="n">
        <v>0</v>
      </c>
      <c r="P296" s="10" t="n"/>
      <c r="Q296" s="9" t="inlineStr"/>
      <c r="R296" s="9" t="inlineStr">
        <is>
          <t>پیش‌فرض 1405</t>
        </is>
      </c>
      <c r="S296" s="9" t="inlineStr">
        <is>
          <t>T107</t>
        </is>
      </c>
      <c r="T296" s="9" t="inlineStr">
        <is>
          <t>بله</t>
        </is>
      </c>
    </row>
    <row r="297">
      <c r="A297" s="9" t="inlineStr">
        <is>
          <t>1405-0296</t>
        </is>
      </c>
      <c r="B297" s="9" t="inlineStr">
        <is>
          <t>کیوان الکترونیک ایرانیان</t>
        </is>
      </c>
      <c r="C297" s="9" t="inlineStr">
        <is>
          <t>بایگانی</t>
        </is>
      </c>
      <c r="D297" s="9" t="inlineStr">
        <is>
          <t>بایگانی مدارک و اسناد ماه فروردین</t>
        </is>
      </c>
      <c r="E297" s="9" t="inlineStr">
        <is>
          <t>ماهانه</t>
        </is>
      </c>
      <c r="F297" s="9" t="inlineStr">
        <is>
          <t>فروردین</t>
        </is>
      </c>
      <c r="G297" s="10" t="n">
        <v>46147</v>
      </c>
      <c r="H297" s="9" t="inlineStr">
        <is>
          <t>1405/02/15</t>
        </is>
      </c>
      <c r="I297" s="9" t="n">
        <v>3</v>
      </c>
      <c r="J297" s="10">
        <f>IF(G297="","",G297-I297)</f>
        <v/>
      </c>
      <c r="K297" s="9" t="inlineStr">
        <is>
          <t>متوسط</t>
        </is>
      </c>
      <c r="L297" s="9" t="inlineStr">
        <is>
          <t>باز</t>
        </is>
      </c>
      <c r="M297" s="9">
        <f>IF(D297="","",IF(L297="انجام شده","انجام شده",IF(L297="لغو شده","لغو شده",IF(G297&lt;TODAY(),"عقب‌افتاده",IF(G297=TODAY(),"امروز",IF(G297&lt;=TODAY()+7,"تا ۷ روز",IF(G297&lt;=TODAY()+15,"تا ۱۵ روز","آینده")))))))</f>
        <v/>
      </c>
      <c r="N297" s="9" t="inlineStr"/>
      <c r="O297" s="9" t="n">
        <v>0</v>
      </c>
      <c r="P297" s="10" t="n"/>
      <c r="Q297" s="9" t="inlineStr"/>
      <c r="R297" s="9" t="inlineStr">
        <is>
          <t>پیش‌فرض 1405</t>
        </is>
      </c>
      <c r="S297" s="9" t="inlineStr">
        <is>
          <t>T108</t>
        </is>
      </c>
      <c r="T297" s="9" t="inlineStr">
        <is>
          <t>بله</t>
        </is>
      </c>
    </row>
    <row r="298">
      <c r="A298" s="9" t="inlineStr">
        <is>
          <t>1405-0297</t>
        </is>
      </c>
      <c r="B298" s="9" t="inlineStr">
        <is>
          <t>کیوان الکترونیک ایرانیان</t>
        </is>
      </c>
      <c r="C298" s="9" t="inlineStr">
        <is>
          <t>پایان ماه</t>
        </is>
      </c>
      <c r="D298" s="9" t="inlineStr">
        <is>
          <t>مغایرت‌گیری بانکی ماه اردیبهشت</t>
        </is>
      </c>
      <c r="E298" s="9" t="inlineStr">
        <is>
          <t>ماهانه</t>
        </is>
      </c>
      <c r="F298" s="9" t="inlineStr">
        <is>
          <t>اردیبهشت</t>
        </is>
      </c>
      <c r="G298" s="10" t="n">
        <v>46168</v>
      </c>
      <c r="H298" s="9" t="inlineStr">
        <is>
          <t>1405/03/05</t>
        </is>
      </c>
      <c r="I298" s="9" t="n">
        <v>5</v>
      </c>
      <c r="J298" s="10">
        <f>IF(G298="","",G298-I298)</f>
        <v/>
      </c>
      <c r="K298" s="9" t="inlineStr">
        <is>
          <t>بالا</t>
        </is>
      </c>
      <c r="L298" s="9" t="inlineStr">
        <is>
          <t>باز</t>
        </is>
      </c>
      <c r="M298" s="9">
        <f>IF(D298="","",IF(L298="انجام شده","انجام شده",IF(L298="لغو شده","لغو شده",IF(G298&lt;TODAY(),"عقب‌افتاده",IF(G298=TODAY(),"امروز",IF(G298&lt;=TODAY()+7,"تا ۷ روز",IF(G298&lt;=TODAY()+15,"تا ۱۵ روز","آینده")))))))</f>
        <v/>
      </c>
      <c r="N298" s="9" t="inlineStr"/>
      <c r="O298" s="9" t="n">
        <v>0</v>
      </c>
      <c r="P298" s="10" t="n"/>
      <c r="Q298" s="9" t="inlineStr"/>
      <c r="R298" s="9" t="inlineStr">
        <is>
          <t>پیش‌فرض 1405</t>
        </is>
      </c>
      <c r="S298" s="9" t="inlineStr">
        <is>
          <t>T101</t>
        </is>
      </c>
      <c r="T298" s="9" t="inlineStr">
        <is>
          <t>بله</t>
        </is>
      </c>
    </row>
    <row r="299">
      <c r="A299" s="9" t="inlineStr">
        <is>
          <t>1405-0298</t>
        </is>
      </c>
      <c r="B299" s="9" t="inlineStr">
        <is>
          <t>کیوان الکترونیک ایرانیان</t>
        </is>
      </c>
      <c r="C299" s="9" t="inlineStr">
        <is>
          <t>پایان ماه</t>
        </is>
      </c>
      <c r="D299" s="9" t="inlineStr">
        <is>
          <t>کنترل نهایی اسناد ماه اردیبهشت</t>
        </is>
      </c>
      <c r="E299" s="9" t="inlineStr">
        <is>
          <t>ماهانه</t>
        </is>
      </c>
      <c r="F299" s="9" t="inlineStr">
        <is>
          <t>اردیبهشت</t>
        </is>
      </c>
      <c r="G299" s="10" t="n">
        <v>46170</v>
      </c>
      <c r="H299" s="9" t="inlineStr">
        <is>
          <t>1405/03/07</t>
        </is>
      </c>
      <c r="I299" s="9" t="n">
        <v>5</v>
      </c>
      <c r="J299" s="10">
        <f>IF(G299="","",G299-I299)</f>
        <v/>
      </c>
      <c r="K299" s="9" t="inlineStr">
        <is>
          <t>بالا</t>
        </is>
      </c>
      <c r="L299" s="9" t="inlineStr">
        <is>
          <t>باز</t>
        </is>
      </c>
      <c r="M299" s="9">
        <f>IF(D299="","",IF(L299="انجام شده","انجام شده",IF(L299="لغو شده","لغو شده",IF(G299&lt;TODAY(),"عقب‌افتاده",IF(G299=TODAY(),"امروز",IF(G299&lt;=TODAY()+7,"تا ۷ روز",IF(G299&lt;=TODAY()+15,"تا ۱۵ روز","آینده")))))))</f>
        <v/>
      </c>
      <c r="N299" s="9" t="inlineStr"/>
      <c r="O299" s="9" t="n">
        <v>0</v>
      </c>
      <c r="P299" s="10" t="n"/>
      <c r="Q299" s="9" t="inlineStr"/>
      <c r="R299" s="9" t="inlineStr">
        <is>
          <t>پیش‌فرض 1405</t>
        </is>
      </c>
      <c r="S299" s="9" t="inlineStr">
        <is>
          <t>T102</t>
        </is>
      </c>
      <c r="T299" s="9" t="inlineStr">
        <is>
          <t>بله</t>
        </is>
      </c>
    </row>
    <row r="300">
      <c r="A300" s="9" t="inlineStr">
        <is>
          <t>1405-0299</t>
        </is>
      </c>
      <c r="B300" s="9" t="inlineStr">
        <is>
          <t>کیوان الکترونیک ایرانیان</t>
        </is>
      </c>
      <c r="C300" s="9" t="inlineStr">
        <is>
          <t>پایان ماه</t>
        </is>
      </c>
      <c r="D300" s="9" t="inlineStr">
        <is>
          <t>بستن حساب‌های ماه اردیبهشت و کنترل مانده‌ها</t>
        </is>
      </c>
      <c r="E300" s="9" t="inlineStr">
        <is>
          <t>ماهانه</t>
        </is>
      </c>
      <c r="F300" s="9" t="inlineStr">
        <is>
          <t>اردیبهشت</t>
        </is>
      </c>
      <c r="G300" s="10" t="n">
        <v>46173</v>
      </c>
      <c r="H300" s="9" t="inlineStr">
        <is>
          <t>1405/03/10</t>
        </is>
      </c>
      <c r="I300" s="9" t="n">
        <v>7</v>
      </c>
      <c r="J300" s="10">
        <f>IF(G300="","",G300-I300)</f>
        <v/>
      </c>
      <c r="K300" s="9" t="inlineStr">
        <is>
          <t>بالا</t>
        </is>
      </c>
      <c r="L300" s="9" t="inlineStr">
        <is>
          <t>باز</t>
        </is>
      </c>
      <c r="M300" s="9">
        <f>IF(D300="","",IF(L300="انجام شده","انجام شده",IF(L300="لغو شده","لغو شده",IF(G300&lt;TODAY(),"عقب‌افتاده",IF(G300=TODAY(),"امروز",IF(G300&lt;=TODAY()+7,"تا ۷ روز",IF(G300&lt;=TODAY()+15,"تا ۱۵ روز","آینده")))))))</f>
        <v/>
      </c>
      <c r="N300" s="9" t="inlineStr"/>
      <c r="O300" s="9" t="n">
        <v>0</v>
      </c>
      <c r="P300" s="10" t="n"/>
      <c r="Q300" s="9" t="inlineStr"/>
      <c r="R300" s="9" t="inlineStr">
        <is>
          <t>پیش‌فرض 1405</t>
        </is>
      </c>
      <c r="S300" s="9" t="inlineStr">
        <is>
          <t>T103</t>
        </is>
      </c>
      <c r="T300" s="9" t="inlineStr">
        <is>
          <t>بله</t>
        </is>
      </c>
    </row>
    <row r="301">
      <c r="A301" s="9" t="inlineStr">
        <is>
          <t>1405-0300</t>
        </is>
      </c>
      <c r="B301" s="9" t="inlineStr">
        <is>
          <t>کیوان الکترونیک ایرانیان</t>
        </is>
      </c>
      <c r="C301" s="9" t="inlineStr">
        <is>
          <t>گزارش</t>
        </is>
      </c>
      <c r="D301" s="9" t="inlineStr">
        <is>
          <t>تهیه گزارش مدیریت ماه اردیبهشت</t>
        </is>
      </c>
      <c r="E301" s="9" t="inlineStr">
        <is>
          <t>ماهانه</t>
        </is>
      </c>
      <c r="F301" s="9" t="inlineStr">
        <is>
          <t>اردیبهشت</t>
        </is>
      </c>
      <c r="G301" s="10" t="n">
        <v>46173</v>
      </c>
      <c r="H301" s="9" t="inlineStr">
        <is>
          <t>1405/03/10</t>
        </is>
      </c>
      <c r="I301" s="9" t="n">
        <v>5</v>
      </c>
      <c r="J301" s="10">
        <f>IF(G301="","",G301-I301)</f>
        <v/>
      </c>
      <c r="K301" s="9" t="inlineStr">
        <is>
          <t>متوسط</t>
        </is>
      </c>
      <c r="L301" s="9" t="inlineStr">
        <is>
          <t>باز</t>
        </is>
      </c>
      <c r="M301" s="9">
        <f>IF(D301="","",IF(L301="انجام شده","انجام شده",IF(L301="لغو شده","لغو شده",IF(G301&lt;TODAY(),"عقب‌افتاده",IF(G301=TODAY(),"امروز",IF(G301&lt;=TODAY()+7,"تا ۷ روز",IF(G301&lt;=TODAY()+15,"تا ۱۵ روز","آینده")))))))</f>
        <v/>
      </c>
      <c r="N301" s="9" t="inlineStr"/>
      <c r="O301" s="9" t="n">
        <v>0</v>
      </c>
      <c r="P301" s="10" t="n"/>
      <c r="Q301" s="9" t="inlineStr"/>
      <c r="R301" s="9" t="inlineStr">
        <is>
          <t>پیش‌فرض 1405</t>
        </is>
      </c>
      <c r="S301" s="9" t="inlineStr">
        <is>
          <t>T104</t>
        </is>
      </c>
      <c r="T301" s="9" t="inlineStr">
        <is>
          <t>بله</t>
        </is>
      </c>
    </row>
    <row r="302">
      <c r="A302" s="9" t="inlineStr">
        <is>
          <t>1405-0301</t>
        </is>
      </c>
      <c r="B302" s="9" t="inlineStr">
        <is>
          <t>کیوان الکترونیک ایرانیان</t>
        </is>
      </c>
      <c r="C302" s="9" t="inlineStr">
        <is>
          <t>حقوق و دستمزد</t>
        </is>
      </c>
      <c r="D302" s="9" t="inlineStr">
        <is>
          <t>محاسبه حقوق و دستمزد ماه اردیبهشت</t>
        </is>
      </c>
      <c r="E302" s="9" t="inlineStr">
        <is>
          <t>ماهانه</t>
        </is>
      </c>
      <c r="F302" s="9" t="inlineStr">
        <is>
          <t>اردیبهشت</t>
        </is>
      </c>
      <c r="G302" s="10" t="n">
        <v>46160</v>
      </c>
      <c r="H302" s="9" t="inlineStr">
        <is>
          <t>1405/02/28</t>
        </is>
      </c>
      <c r="I302" s="9" t="n">
        <v>5</v>
      </c>
      <c r="J302" s="10">
        <f>IF(G302="","",G302-I302)</f>
        <v/>
      </c>
      <c r="K302" s="9" t="inlineStr">
        <is>
          <t>بالا</t>
        </is>
      </c>
      <c r="L302" s="9" t="inlineStr">
        <is>
          <t>باز</t>
        </is>
      </c>
      <c r="M302" s="9">
        <f>IF(D302="","",IF(L302="انجام شده","انجام شده",IF(L302="لغو شده","لغو شده",IF(G302&lt;TODAY(),"عقب‌افتاده",IF(G302=TODAY(),"امروز",IF(G302&lt;=TODAY()+7,"تا ۷ روز",IF(G302&lt;=TODAY()+15,"تا ۱۵ روز","آینده")))))))</f>
        <v/>
      </c>
      <c r="N302" s="9" t="inlineStr"/>
      <c r="O302" s="9" t="n">
        <v>0</v>
      </c>
      <c r="P302" s="10" t="n"/>
      <c r="Q302" s="9" t="inlineStr"/>
      <c r="R302" s="9" t="inlineStr">
        <is>
          <t>پیش‌فرض 1405</t>
        </is>
      </c>
      <c r="S302" s="9" t="inlineStr">
        <is>
          <t>T105</t>
        </is>
      </c>
      <c r="T302" s="9" t="inlineStr">
        <is>
          <t>بله</t>
        </is>
      </c>
    </row>
    <row r="303">
      <c r="A303" s="9" t="inlineStr">
        <is>
          <t>1405-0302</t>
        </is>
      </c>
      <c r="B303" s="9" t="inlineStr">
        <is>
          <t>کیوان الکترونیک ایرانیان</t>
        </is>
      </c>
      <c r="C303" s="9" t="inlineStr">
        <is>
          <t>حقوق و دستمزد</t>
        </is>
      </c>
      <c r="D303" s="9" t="inlineStr">
        <is>
          <t>ارسال/پرداخت لیست بیمه ماه اردیبهشت</t>
        </is>
      </c>
      <c r="E303" s="9" t="inlineStr">
        <is>
          <t>ماهانه</t>
        </is>
      </c>
      <c r="F303" s="9" t="inlineStr">
        <is>
          <t>اردیبهشت</t>
        </is>
      </c>
      <c r="G303" s="10" t="n">
        <v>46194</v>
      </c>
      <c r="H303" s="9" t="inlineStr">
        <is>
          <t>1405/03/31</t>
        </is>
      </c>
      <c r="I303" s="9" t="n">
        <v>7</v>
      </c>
      <c r="J303" s="10">
        <f>IF(G303="","",G303-I303)</f>
        <v/>
      </c>
      <c r="K303" s="9" t="inlineStr">
        <is>
          <t>خیلی بالا</t>
        </is>
      </c>
      <c r="L303" s="9" t="inlineStr">
        <is>
          <t>باز</t>
        </is>
      </c>
      <c r="M303" s="9">
        <f>IF(D303="","",IF(L303="انجام شده","انجام شده",IF(L303="لغو شده","لغو شده",IF(G303&lt;TODAY(),"عقب‌افتاده",IF(G303=TODAY(),"امروز",IF(G303&lt;=TODAY()+7,"تا ۷ روز",IF(G303&lt;=TODAY()+15,"تا ۱۵ روز","آینده")))))))</f>
        <v/>
      </c>
      <c r="N303" s="9" t="inlineStr"/>
      <c r="O303" s="9" t="n">
        <v>0</v>
      </c>
      <c r="P303" s="10" t="n"/>
      <c r="Q303" s="9" t="inlineStr"/>
      <c r="R303" s="9" t="inlineStr">
        <is>
          <t>پیش‌فرض 1405</t>
        </is>
      </c>
      <c r="S303" s="9" t="inlineStr">
        <is>
          <t>T106</t>
        </is>
      </c>
      <c r="T303" s="9" t="inlineStr">
        <is>
          <t>بله</t>
        </is>
      </c>
    </row>
    <row r="304">
      <c r="A304" s="9" t="inlineStr">
        <is>
          <t>1405-0303</t>
        </is>
      </c>
      <c r="B304" s="9" t="inlineStr">
        <is>
          <t>کیوان الکترونیک ایرانیان</t>
        </is>
      </c>
      <c r="C304" s="9" t="inlineStr">
        <is>
          <t>حقوق و دستمزد</t>
        </is>
      </c>
      <c r="D304" s="9" t="inlineStr">
        <is>
          <t>ارسال/پرداخت مالیات حقوق ماه اردیبهشت</t>
        </is>
      </c>
      <c r="E304" s="9" t="inlineStr">
        <is>
          <t>ماهانه</t>
        </is>
      </c>
      <c r="F304" s="9" t="inlineStr">
        <is>
          <t>اردیبهشت</t>
        </is>
      </c>
      <c r="G304" s="10" t="n">
        <v>46194</v>
      </c>
      <c r="H304" s="9" t="inlineStr">
        <is>
          <t>1405/03/31</t>
        </is>
      </c>
      <c r="I304" s="9" t="n">
        <v>7</v>
      </c>
      <c r="J304" s="10">
        <f>IF(G304="","",G304-I304)</f>
        <v/>
      </c>
      <c r="K304" s="9" t="inlineStr">
        <is>
          <t>خیلی بالا</t>
        </is>
      </c>
      <c r="L304" s="9" t="inlineStr">
        <is>
          <t>باز</t>
        </is>
      </c>
      <c r="M304" s="9">
        <f>IF(D304="","",IF(L304="انجام شده","انجام شده",IF(L304="لغو شده","لغو شده",IF(G304&lt;TODAY(),"عقب‌افتاده",IF(G304=TODAY(),"امروز",IF(G304&lt;=TODAY()+7,"تا ۷ روز",IF(G304&lt;=TODAY()+15,"تا ۱۵ روز","آینده")))))))</f>
        <v/>
      </c>
      <c r="N304" s="9" t="inlineStr"/>
      <c r="O304" s="9" t="n">
        <v>0</v>
      </c>
      <c r="P304" s="10" t="n"/>
      <c r="Q304" s="9" t="inlineStr"/>
      <c r="R304" s="9" t="inlineStr">
        <is>
          <t>پیش‌فرض 1405</t>
        </is>
      </c>
      <c r="S304" s="9" t="inlineStr">
        <is>
          <t>T107</t>
        </is>
      </c>
      <c r="T304" s="9" t="inlineStr">
        <is>
          <t>بله</t>
        </is>
      </c>
    </row>
    <row r="305">
      <c r="A305" s="9" t="inlineStr">
        <is>
          <t>1405-0304</t>
        </is>
      </c>
      <c r="B305" s="9" t="inlineStr">
        <is>
          <t>کیوان الکترونیک ایرانیان</t>
        </is>
      </c>
      <c r="C305" s="9" t="inlineStr">
        <is>
          <t>بایگانی</t>
        </is>
      </c>
      <c r="D305" s="9" t="inlineStr">
        <is>
          <t>بایگانی مدارک و اسناد ماه اردیبهشت</t>
        </is>
      </c>
      <c r="E305" s="9" t="inlineStr">
        <is>
          <t>ماهانه</t>
        </is>
      </c>
      <c r="F305" s="9" t="inlineStr">
        <is>
          <t>اردیبهشت</t>
        </is>
      </c>
      <c r="G305" s="10" t="n">
        <v>46178</v>
      </c>
      <c r="H305" s="9" t="inlineStr">
        <is>
          <t>1405/03/15</t>
        </is>
      </c>
      <c r="I305" s="9" t="n">
        <v>3</v>
      </c>
      <c r="J305" s="10">
        <f>IF(G305="","",G305-I305)</f>
        <v/>
      </c>
      <c r="K305" s="9" t="inlineStr">
        <is>
          <t>متوسط</t>
        </is>
      </c>
      <c r="L305" s="9" t="inlineStr">
        <is>
          <t>باز</t>
        </is>
      </c>
      <c r="M305" s="9">
        <f>IF(D305="","",IF(L305="انجام شده","انجام شده",IF(L305="لغو شده","لغو شده",IF(G305&lt;TODAY(),"عقب‌افتاده",IF(G305=TODAY(),"امروز",IF(G305&lt;=TODAY()+7,"تا ۷ روز",IF(G305&lt;=TODAY()+15,"تا ۱۵ روز","آینده")))))))</f>
        <v/>
      </c>
      <c r="N305" s="9" t="inlineStr"/>
      <c r="O305" s="9" t="n">
        <v>0</v>
      </c>
      <c r="P305" s="10" t="n"/>
      <c r="Q305" s="9" t="inlineStr"/>
      <c r="R305" s="9" t="inlineStr">
        <is>
          <t>پیش‌فرض 1405</t>
        </is>
      </c>
      <c r="S305" s="9" t="inlineStr">
        <is>
          <t>T108</t>
        </is>
      </c>
      <c r="T305" s="9" t="inlineStr">
        <is>
          <t>بله</t>
        </is>
      </c>
    </row>
    <row r="306">
      <c r="A306" s="9" t="inlineStr">
        <is>
          <t>1405-0305</t>
        </is>
      </c>
      <c r="B306" s="9" t="inlineStr">
        <is>
          <t>کیوان الکترونیک ایرانیان</t>
        </is>
      </c>
      <c r="C306" s="9" t="inlineStr">
        <is>
          <t>پایان ماه</t>
        </is>
      </c>
      <c r="D306" s="9" t="inlineStr">
        <is>
          <t>مغایرت‌گیری بانکی ماه خرداد</t>
        </is>
      </c>
      <c r="E306" s="9" t="inlineStr">
        <is>
          <t>ماهانه</t>
        </is>
      </c>
      <c r="F306" s="9" t="inlineStr">
        <is>
          <t>خرداد</t>
        </is>
      </c>
      <c r="G306" s="10" t="n">
        <v>46199</v>
      </c>
      <c r="H306" s="9" t="inlineStr">
        <is>
          <t>1405/04/05</t>
        </is>
      </c>
      <c r="I306" s="9" t="n">
        <v>5</v>
      </c>
      <c r="J306" s="10">
        <f>IF(G306="","",G306-I306)</f>
        <v/>
      </c>
      <c r="K306" s="9" t="inlineStr">
        <is>
          <t>بالا</t>
        </is>
      </c>
      <c r="L306" s="9" t="inlineStr">
        <is>
          <t>باز</t>
        </is>
      </c>
      <c r="M306" s="9">
        <f>IF(D306="","",IF(L306="انجام شده","انجام شده",IF(L306="لغو شده","لغو شده",IF(G306&lt;TODAY(),"عقب‌افتاده",IF(G306=TODAY(),"امروز",IF(G306&lt;=TODAY()+7,"تا ۷ روز",IF(G306&lt;=TODAY()+15,"تا ۱۵ روز","آینده")))))))</f>
        <v/>
      </c>
      <c r="N306" s="9" t="inlineStr"/>
      <c r="O306" s="9" t="n">
        <v>0</v>
      </c>
      <c r="P306" s="10" t="n"/>
      <c r="Q306" s="9" t="inlineStr"/>
      <c r="R306" s="9" t="inlineStr">
        <is>
          <t>پیش‌فرض 1405</t>
        </is>
      </c>
      <c r="S306" s="9" t="inlineStr">
        <is>
          <t>T101</t>
        </is>
      </c>
      <c r="T306" s="9" t="inlineStr">
        <is>
          <t>بله</t>
        </is>
      </c>
    </row>
    <row r="307">
      <c r="A307" s="9" t="inlineStr">
        <is>
          <t>1405-0306</t>
        </is>
      </c>
      <c r="B307" s="9" t="inlineStr">
        <is>
          <t>کیوان الکترونیک ایرانیان</t>
        </is>
      </c>
      <c r="C307" s="9" t="inlineStr">
        <is>
          <t>پایان ماه</t>
        </is>
      </c>
      <c r="D307" s="9" t="inlineStr">
        <is>
          <t>کنترل نهایی اسناد ماه خرداد</t>
        </is>
      </c>
      <c r="E307" s="9" t="inlineStr">
        <is>
          <t>ماهانه</t>
        </is>
      </c>
      <c r="F307" s="9" t="inlineStr">
        <is>
          <t>خرداد</t>
        </is>
      </c>
      <c r="G307" s="10" t="n">
        <v>46201</v>
      </c>
      <c r="H307" s="9" t="inlineStr">
        <is>
          <t>1405/04/07</t>
        </is>
      </c>
      <c r="I307" s="9" t="n">
        <v>5</v>
      </c>
      <c r="J307" s="10">
        <f>IF(G307="","",G307-I307)</f>
        <v/>
      </c>
      <c r="K307" s="9" t="inlineStr">
        <is>
          <t>بالا</t>
        </is>
      </c>
      <c r="L307" s="9" t="inlineStr">
        <is>
          <t>باز</t>
        </is>
      </c>
      <c r="M307" s="9">
        <f>IF(D307="","",IF(L307="انجام شده","انجام شده",IF(L307="لغو شده","لغو شده",IF(G307&lt;TODAY(),"عقب‌افتاده",IF(G307=TODAY(),"امروز",IF(G307&lt;=TODAY()+7,"تا ۷ روز",IF(G307&lt;=TODAY()+15,"تا ۱۵ روز","آینده")))))))</f>
        <v/>
      </c>
      <c r="N307" s="9" t="inlineStr"/>
      <c r="O307" s="9" t="n">
        <v>0</v>
      </c>
      <c r="P307" s="10" t="n"/>
      <c r="Q307" s="9" t="inlineStr"/>
      <c r="R307" s="9" t="inlineStr">
        <is>
          <t>پیش‌فرض 1405</t>
        </is>
      </c>
      <c r="S307" s="9" t="inlineStr">
        <is>
          <t>T102</t>
        </is>
      </c>
      <c r="T307" s="9" t="inlineStr">
        <is>
          <t>بله</t>
        </is>
      </c>
    </row>
    <row r="308">
      <c r="A308" s="9" t="inlineStr">
        <is>
          <t>1405-0307</t>
        </is>
      </c>
      <c r="B308" s="9" t="inlineStr">
        <is>
          <t>کیوان الکترونیک ایرانیان</t>
        </is>
      </c>
      <c r="C308" s="9" t="inlineStr">
        <is>
          <t>پایان ماه</t>
        </is>
      </c>
      <c r="D308" s="9" t="inlineStr">
        <is>
          <t>بستن حساب‌های ماه خرداد و کنترل مانده‌ها</t>
        </is>
      </c>
      <c r="E308" s="9" t="inlineStr">
        <is>
          <t>ماهانه</t>
        </is>
      </c>
      <c r="F308" s="9" t="inlineStr">
        <is>
          <t>خرداد</t>
        </is>
      </c>
      <c r="G308" s="10" t="n">
        <v>46204</v>
      </c>
      <c r="H308" s="9" t="inlineStr">
        <is>
          <t>1405/04/10</t>
        </is>
      </c>
      <c r="I308" s="9" t="n">
        <v>7</v>
      </c>
      <c r="J308" s="10">
        <f>IF(G308="","",G308-I308)</f>
        <v/>
      </c>
      <c r="K308" s="9" t="inlineStr">
        <is>
          <t>بالا</t>
        </is>
      </c>
      <c r="L308" s="9" t="inlineStr">
        <is>
          <t>باز</t>
        </is>
      </c>
      <c r="M308" s="9">
        <f>IF(D308="","",IF(L308="انجام شده","انجام شده",IF(L308="لغو شده","لغو شده",IF(G308&lt;TODAY(),"عقب‌افتاده",IF(G308=TODAY(),"امروز",IF(G308&lt;=TODAY()+7,"تا ۷ روز",IF(G308&lt;=TODAY()+15,"تا ۱۵ روز","آینده")))))))</f>
        <v/>
      </c>
      <c r="N308" s="9" t="inlineStr"/>
      <c r="O308" s="9" t="n">
        <v>0</v>
      </c>
      <c r="P308" s="10" t="n"/>
      <c r="Q308" s="9" t="inlineStr"/>
      <c r="R308" s="9" t="inlineStr">
        <is>
          <t>پیش‌فرض 1405</t>
        </is>
      </c>
      <c r="S308" s="9" t="inlineStr">
        <is>
          <t>T103</t>
        </is>
      </c>
      <c r="T308" s="9" t="inlineStr">
        <is>
          <t>بله</t>
        </is>
      </c>
    </row>
    <row r="309">
      <c r="A309" s="9" t="inlineStr">
        <is>
          <t>1405-0308</t>
        </is>
      </c>
      <c r="B309" s="9" t="inlineStr">
        <is>
          <t>کیوان الکترونیک ایرانیان</t>
        </is>
      </c>
      <c r="C309" s="9" t="inlineStr">
        <is>
          <t>گزارش</t>
        </is>
      </c>
      <c r="D309" s="9" t="inlineStr">
        <is>
          <t>تهیه گزارش مدیریت ماه خرداد</t>
        </is>
      </c>
      <c r="E309" s="9" t="inlineStr">
        <is>
          <t>ماهانه</t>
        </is>
      </c>
      <c r="F309" s="9" t="inlineStr">
        <is>
          <t>خرداد</t>
        </is>
      </c>
      <c r="G309" s="10" t="n">
        <v>46204</v>
      </c>
      <c r="H309" s="9" t="inlineStr">
        <is>
          <t>1405/04/10</t>
        </is>
      </c>
      <c r="I309" s="9" t="n">
        <v>5</v>
      </c>
      <c r="J309" s="10">
        <f>IF(G309="","",G309-I309)</f>
        <v/>
      </c>
      <c r="K309" s="9" t="inlineStr">
        <is>
          <t>متوسط</t>
        </is>
      </c>
      <c r="L309" s="9" t="inlineStr">
        <is>
          <t>باز</t>
        </is>
      </c>
      <c r="M309" s="9">
        <f>IF(D309="","",IF(L309="انجام شده","انجام شده",IF(L309="لغو شده","لغو شده",IF(G309&lt;TODAY(),"عقب‌افتاده",IF(G309=TODAY(),"امروز",IF(G309&lt;=TODAY()+7,"تا ۷ روز",IF(G309&lt;=TODAY()+15,"تا ۱۵ روز","آینده")))))))</f>
        <v/>
      </c>
      <c r="N309" s="9" t="inlineStr"/>
      <c r="O309" s="9" t="n">
        <v>0</v>
      </c>
      <c r="P309" s="10" t="n"/>
      <c r="Q309" s="9" t="inlineStr"/>
      <c r="R309" s="9" t="inlineStr">
        <is>
          <t>پیش‌فرض 1405</t>
        </is>
      </c>
      <c r="S309" s="9" t="inlineStr">
        <is>
          <t>T104</t>
        </is>
      </c>
      <c r="T309" s="9" t="inlineStr">
        <is>
          <t>بله</t>
        </is>
      </c>
    </row>
    <row r="310">
      <c r="A310" s="9" t="inlineStr">
        <is>
          <t>1405-0309</t>
        </is>
      </c>
      <c r="B310" s="9" t="inlineStr">
        <is>
          <t>کیوان الکترونیک ایرانیان</t>
        </is>
      </c>
      <c r="C310" s="9" t="inlineStr">
        <is>
          <t>حقوق و دستمزد</t>
        </is>
      </c>
      <c r="D310" s="9" t="inlineStr">
        <is>
          <t>محاسبه حقوق و دستمزد ماه خرداد</t>
        </is>
      </c>
      <c r="E310" s="9" t="inlineStr">
        <is>
          <t>ماهانه</t>
        </is>
      </c>
      <c r="F310" s="9" t="inlineStr">
        <is>
          <t>خرداد</t>
        </is>
      </c>
      <c r="G310" s="10" t="n">
        <v>46191</v>
      </c>
      <c r="H310" s="9" t="inlineStr">
        <is>
          <t>1405/03/28</t>
        </is>
      </c>
      <c r="I310" s="9" t="n">
        <v>5</v>
      </c>
      <c r="J310" s="10">
        <f>IF(G310="","",G310-I310)</f>
        <v/>
      </c>
      <c r="K310" s="9" t="inlineStr">
        <is>
          <t>بالا</t>
        </is>
      </c>
      <c r="L310" s="9" t="inlineStr">
        <is>
          <t>باز</t>
        </is>
      </c>
      <c r="M310" s="9">
        <f>IF(D310="","",IF(L310="انجام شده","انجام شده",IF(L310="لغو شده","لغو شده",IF(G310&lt;TODAY(),"عقب‌افتاده",IF(G310=TODAY(),"امروز",IF(G310&lt;=TODAY()+7,"تا ۷ روز",IF(G310&lt;=TODAY()+15,"تا ۱۵ روز","آینده")))))))</f>
        <v/>
      </c>
      <c r="N310" s="9" t="inlineStr"/>
      <c r="O310" s="9" t="n">
        <v>0</v>
      </c>
      <c r="P310" s="10" t="n"/>
      <c r="Q310" s="9" t="inlineStr"/>
      <c r="R310" s="9" t="inlineStr">
        <is>
          <t>پیش‌فرض 1405</t>
        </is>
      </c>
      <c r="S310" s="9" t="inlineStr">
        <is>
          <t>T105</t>
        </is>
      </c>
      <c r="T310" s="9" t="inlineStr">
        <is>
          <t>بله</t>
        </is>
      </c>
    </row>
    <row r="311">
      <c r="A311" s="9" t="inlineStr">
        <is>
          <t>1405-0310</t>
        </is>
      </c>
      <c r="B311" s="9" t="inlineStr">
        <is>
          <t>کیوان الکترونیک ایرانیان</t>
        </is>
      </c>
      <c r="C311" s="9" t="inlineStr">
        <is>
          <t>حقوق و دستمزد</t>
        </is>
      </c>
      <c r="D311" s="9" t="inlineStr">
        <is>
          <t>ارسال/پرداخت لیست بیمه ماه خرداد</t>
        </is>
      </c>
      <c r="E311" s="9" t="inlineStr">
        <is>
          <t>ماهانه</t>
        </is>
      </c>
      <c r="F311" s="9" t="inlineStr">
        <is>
          <t>خرداد</t>
        </is>
      </c>
      <c r="G311" s="10" t="n">
        <v>46225</v>
      </c>
      <c r="H311" s="9" t="inlineStr">
        <is>
          <t>1405/04/31</t>
        </is>
      </c>
      <c r="I311" s="9" t="n">
        <v>7</v>
      </c>
      <c r="J311" s="10">
        <f>IF(G311="","",G311-I311)</f>
        <v/>
      </c>
      <c r="K311" s="9" t="inlineStr">
        <is>
          <t>خیلی بالا</t>
        </is>
      </c>
      <c r="L311" s="9" t="inlineStr">
        <is>
          <t>باز</t>
        </is>
      </c>
      <c r="M311" s="9">
        <f>IF(D311="","",IF(L311="انجام شده","انجام شده",IF(L311="لغو شده","لغو شده",IF(G311&lt;TODAY(),"عقب‌افتاده",IF(G311=TODAY(),"امروز",IF(G311&lt;=TODAY()+7,"تا ۷ روز",IF(G311&lt;=TODAY()+15,"تا ۱۵ روز","آینده")))))))</f>
        <v/>
      </c>
      <c r="N311" s="9" t="inlineStr"/>
      <c r="O311" s="9" t="n">
        <v>0</v>
      </c>
      <c r="P311" s="10" t="n"/>
      <c r="Q311" s="9" t="inlineStr"/>
      <c r="R311" s="9" t="inlineStr">
        <is>
          <t>پیش‌فرض 1405</t>
        </is>
      </c>
      <c r="S311" s="9" t="inlineStr">
        <is>
          <t>T106</t>
        </is>
      </c>
      <c r="T311" s="9" t="inlineStr">
        <is>
          <t>بله</t>
        </is>
      </c>
    </row>
    <row r="312">
      <c r="A312" s="9" t="inlineStr">
        <is>
          <t>1405-0311</t>
        </is>
      </c>
      <c r="B312" s="9" t="inlineStr">
        <is>
          <t>کیوان الکترونیک ایرانیان</t>
        </is>
      </c>
      <c r="C312" s="9" t="inlineStr">
        <is>
          <t>حقوق و دستمزد</t>
        </is>
      </c>
      <c r="D312" s="9" t="inlineStr">
        <is>
          <t>ارسال/پرداخت مالیات حقوق ماه خرداد</t>
        </is>
      </c>
      <c r="E312" s="9" t="inlineStr">
        <is>
          <t>ماهانه</t>
        </is>
      </c>
      <c r="F312" s="9" t="inlineStr">
        <is>
          <t>خرداد</t>
        </is>
      </c>
      <c r="G312" s="10" t="n">
        <v>46225</v>
      </c>
      <c r="H312" s="9" t="inlineStr">
        <is>
          <t>1405/04/31</t>
        </is>
      </c>
      <c r="I312" s="9" t="n">
        <v>7</v>
      </c>
      <c r="J312" s="10">
        <f>IF(G312="","",G312-I312)</f>
        <v/>
      </c>
      <c r="K312" s="9" t="inlineStr">
        <is>
          <t>خیلی بالا</t>
        </is>
      </c>
      <c r="L312" s="9" t="inlineStr">
        <is>
          <t>باز</t>
        </is>
      </c>
      <c r="M312" s="9">
        <f>IF(D312="","",IF(L312="انجام شده","انجام شده",IF(L312="لغو شده","لغو شده",IF(G312&lt;TODAY(),"عقب‌افتاده",IF(G312=TODAY(),"امروز",IF(G312&lt;=TODAY()+7,"تا ۷ روز",IF(G312&lt;=TODAY()+15,"تا ۱۵ روز","آینده")))))))</f>
        <v/>
      </c>
      <c r="N312" s="9" t="inlineStr"/>
      <c r="O312" s="9" t="n">
        <v>0</v>
      </c>
      <c r="P312" s="10" t="n"/>
      <c r="Q312" s="9" t="inlineStr"/>
      <c r="R312" s="9" t="inlineStr">
        <is>
          <t>پیش‌فرض 1405</t>
        </is>
      </c>
      <c r="S312" s="9" t="inlineStr">
        <is>
          <t>T107</t>
        </is>
      </c>
      <c r="T312" s="9" t="inlineStr">
        <is>
          <t>بله</t>
        </is>
      </c>
    </row>
    <row r="313">
      <c r="A313" s="9" t="inlineStr">
        <is>
          <t>1405-0312</t>
        </is>
      </c>
      <c r="B313" s="9" t="inlineStr">
        <is>
          <t>کیوان الکترونیک ایرانیان</t>
        </is>
      </c>
      <c r="C313" s="9" t="inlineStr">
        <is>
          <t>بایگانی</t>
        </is>
      </c>
      <c r="D313" s="9" t="inlineStr">
        <is>
          <t>بایگانی مدارک و اسناد ماه خرداد</t>
        </is>
      </c>
      <c r="E313" s="9" t="inlineStr">
        <is>
          <t>ماهانه</t>
        </is>
      </c>
      <c r="F313" s="9" t="inlineStr">
        <is>
          <t>خرداد</t>
        </is>
      </c>
      <c r="G313" s="10" t="n">
        <v>46209</v>
      </c>
      <c r="H313" s="9" t="inlineStr">
        <is>
          <t>1405/04/15</t>
        </is>
      </c>
      <c r="I313" s="9" t="n">
        <v>3</v>
      </c>
      <c r="J313" s="10">
        <f>IF(G313="","",G313-I313)</f>
        <v/>
      </c>
      <c r="K313" s="9" t="inlineStr">
        <is>
          <t>متوسط</t>
        </is>
      </c>
      <c r="L313" s="9" t="inlineStr">
        <is>
          <t>باز</t>
        </is>
      </c>
      <c r="M313" s="9">
        <f>IF(D313="","",IF(L313="انجام شده","انجام شده",IF(L313="لغو شده","لغو شده",IF(G313&lt;TODAY(),"عقب‌افتاده",IF(G313=TODAY(),"امروز",IF(G313&lt;=TODAY()+7,"تا ۷ روز",IF(G313&lt;=TODAY()+15,"تا ۱۵ روز","آینده")))))))</f>
        <v/>
      </c>
      <c r="N313" s="9" t="inlineStr"/>
      <c r="O313" s="9" t="n">
        <v>0</v>
      </c>
      <c r="P313" s="10" t="n"/>
      <c r="Q313" s="9" t="inlineStr"/>
      <c r="R313" s="9" t="inlineStr">
        <is>
          <t>پیش‌فرض 1405</t>
        </is>
      </c>
      <c r="S313" s="9" t="inlineStr">
        <is>
          <t>T108</t>
        </is>
      </c>
      <c r="T313" s="9" t="inlineStr">
        <is>
          <t>بله</t>
        </is>
      </c>
    </row>
    <row r="314">
      <c r="A314" s="9" t="inlineStr">
        <is>
          <t>1405-0313</t>
        </is>
      </c>
      <c r="B314" s="9" t="inlineStr">
        <is>
          <t>کیوان الکترونیک ایرانیان</t>
        </is>
      </c>
      <c r="C314" s="9" t="inlineStr">
        <is>
          <t>پایان ماه</t>
        </is>
      </c>
      <c r="D314" s="9" t="inlineStr">
        <is>
          <t>مغایرت‌گیری بانکی ماه تیر</t>
        </is>
      </c>
      <c r="E314" s="9" t="inlineStr">
        <is>
          <t>ماهانه</t>
        </is>
      </c>
      <c r="F314" s="9" t="inlineStr">
        <is>
          <t>تیر</t>
        </is>
      </c>
      <c r="G314" s="10" t="n">
        <v>46230</v>
      </c>
      <c r="H314" s="9" t="inlineStr">
        <is>
          <t>1405/05/05</t>
        </is>
      </c>
      <c r="I314" s="9" t="n">
        <v>5</v>
      </c>
      <c r="J314" s="10">
        <f>IF(G314="","",G314-I314)</f>
        <v/>
      </c>
      <c r="K314" s="9" t="inlineStr">
        <is>
          <t>بالا</t>
        </is>
      </c>
      <c r="L314" s="9" t="inlineStr">
        <is>
          <t>باز</t>
        </is>
      </c>
      <c r="M314" s="9">
        <f>IF(D314="","",IF(L314="انجام شده","انجام شده",IF(L314="لغو شده","لغو شده",IF(G314&lt;TODAY(),"عقب‌افتاده",IF(G314=TODAY(),"امروز",IF(G314&lt;=TODAY()+7,"تا ۷ روز",IF(G314&lt;=TODAY()+15,"تا ۱۵ روز","آینده")))))))</f>
        <v/>
      </c>
      <c r="N314" s="9" t="inlineStr"/>
      <c r="O314" s="9" t="n">
        <v>0</v>
      </c>
      <c r="P314" s="10" t="n"/>
      <c r="Q314" s="9" t="inlineStr"/>
      <c r="R314" s="9" t="inlineStr">
        <is>
          <t>پیش‌فرض 1405</t>
        </is>
      </c>
      <c r="S314" s="9" t="inlineStr">
        <is>
          <t>T101</t>
        </is>
      </c>
      <c r="T314" s="9" t="inlineStr">
        <is>
          <t>بله</t>
        </is>
      </c>
    </row>
    <row r="315">
      <c r="A315" s="9" t="inlineStr">
        <is>
          <t>1405-0314</t>
        </is>
      </c>
      <c r="B315" s="9" t="inlineStr">
        <is>
          <t>کیوان الکترونیک ایرانیان</t>
        </is>
      </c>
      <c r="C315" s="9" t="inlineStr">
        <is>
          <t>پایان ماه</t>
        </is>
      </c>
      <c r="D315" s="9" t="inlineStr">
        <is>
          <t>کنترل نهایی اسناد ماه تیر</t>
        </is>
      </c>
      <c r="E315" s="9" t="inlineStr">
        <is>
          <t>ماهانه</t>
        </is>
      </c>
      <c r="F315" s="9" t="inlineStr">
        <is>
          <t>تیر</t>
        </is>
      </c>
      <c r="G315" s="10" t="n">
        <v>46232</v>
      </c>
      <c r="H315" s="9" t="inlineStr">
        <is>
          <t>1405/05/07</t>
        </is>
      </c>
      <c r="I315" s="9" t="n">
        <v>5</v>
      </c>
      <c r="J315" s="10">
        <f>IF(G315="","",G315-I315)</f>
        <v/>
      </c>
      <c r="K315" s="9" t="inlineStr">
        <is>
          <t>بالا</t>
        </is>
      </c>
      <c r="L315" s="9" t="inlineStr">
        <is>
          <t>باز</t>
        </is>
      </c>
      <c r="M315" s="9">
        <f>IF(D315="","",IF(L315="انجام شده","انجام شده",IF(L315="لغو شده","لغو شده",IF(G315&lt;TODAY(),"عقب‌افتاده",IF(G315=TODAY(),"امروز",IF(G315&lt;=TODAY()+7,"تا ۷ روز",IF(G315&lt;=TODAY()+15,"تا ۱۵ روز","آینده")))))))</f>
        <v/>
      </c>
      <c r="N315" s="9" t="inlineStr"/>
      <c r="O315" s="9" t="n">
        <v>0</v>
      </c>
      <c r="P315" s="10" t="n"/>
      <c r="Q315" s="9" t="inlineStr"/>
      <c r="R315" s="9" t="inlineStr">
        <is>
          <t>پیش‌فرض 1405</t>
        </is>
      </c>
      <c r="S315" s="9" t="inlineStr">
        <is>
          <t>T102</t>
        </is>
      </c>
      <c r="T315" s="9" t="inlineStr">
        <is>
          <t>بله</t>
        </is>
      </c>
    </row>
    <row r="316">
      <c r="A316" s="9" t="inlineStr">
        <is>
          <t>1405-0315</t>
        </is>
      </c>
      <c r="B316" s="9" t="inlineStr">
        <is>
          <t>کیوان الکترونیک ایرانیان</t>
        </is>
      </c>
      <c r="C316" s="9" t="inlineStr">
        <is>
          <t>پایان ماه</t>
        </is>
      </c>
      <c r="D316" s="9" t="inlineStr">
        <is>
          <t>بستن حساب‌های ماه تیر و کنترل مانده‌ها</t>
        </is>
      </c>
      <c r="E316" s="9" t="inlineStr">
        <is>
          <t>ماهانه</t>
        </is>
      </c>
      <c r="F316" s="9" t="inlineStr">
        <is>
          <t>تیر</t>
        </is>
      </c>
      <c r="G316" s="10" t="n">
        <v>46235</v>
      </c>
      <c r="H316" s="9" t="inlineStr">
        <is>
          <t>1405/05/10</t>
        </is>
      </c>
      <c r="I316" s="9" t="n">
        <v>7</v>
      </c>
      <c r="J316" s="10">
        <f>IF(G316="","",G316-I316)</f>
        <v/>
      </c>
      <c r="K316" s="9" t="inlineStr">
        <is>
          <t>بالا</t>
        </is>
      </c>
      <c r="L316" s="9" t="inlineStr">
        <is>
          <t>باز</t>
        </is>
      </c>
      <c r="M316" s="9">
        <f>IF(D316="","",IF(L316="انجام شده","انجام شده",IF(L316="لغو شده","لغو شده",IF(G316&lt;TODAY(),"عقب‌افتاده",IF(G316=TODAY(),"امروز",IF(G316&lt;=TODAY()+7,"تا ۷ روز",IF(G316&lt;=TODAY()+15,"تا ۱۵ روز","آینده")))))))</f>
        <v/>
      </c>
      <c r="N316" s="9" t="inlineStr"/>
      <c r="O316" s="9" t="n">
        <v>0</v>
      </c>
      <c r="P316" s="10" t="n"/>
      <c r="Q316" s="9" t="inlineStr"/>
      <c r="R316" s="9" t="inlineStr">
        <is>
          <t>پیش‌فرض 1405</t>
        </is>
      </c>
      <c r="S316" s="9" t="inlineStr">
        <is>
          <t>T103</t>
        </is>
      </c>
      <c r="T316" s="9" t="inlineStr">
        <is>
          <t>بله</t>
        </is>
      </c>
    </row>
    <row r="317">
      <c r="A317" s="9" t="inlineStr">
        <is>
          <t>1405-0316</t>
        </is>
      </c>
      <c r="B317" s="9" t="inlineStr">
        <is>
          <t>کیوان الکترونیک ایرانیان</t>
        </is>
      </c>
      <c r="C317" s="9" t="inlineStr">
        <is>
          <t>گزارش</t>
        </is>
      </c>
      <c r="D317" s="9" t="inlineStr">
        <is>
          <t>تهیه گزارش مدیریت ماه تیر</t>
        </is>
      </c>
      <c r="E317" s="9" t="inlineStr">
        <is>
          <t>ماهانه</t>
        </is>
      </c>
      <c r="F317" s="9" t="inlineStr">
        <is>
          <t>تیر</t>
        </is>
      </c>
      <c r="G317" s="10" t="n">
        <v>46235</v>
      </c>
      <c r="H317" s="9" t="inlineStr">
        <is>
          <t>1405/05/10</t>
        </is>
      </c>
      <c r="I317" s="9" t="n">
        <v>5</v>
      </c>
      <c r="J317" s="10">
        <f>IF(G317="","",G317-I317)</f>
        <v/>
      </c>
      <c r="K317" s="9" t="inlineStr">
        <is>
          <t>متوسط</t>
        </is>
      </c>
      <c r="L317" s="9" t="inlineStr">
        <is>
          <t>باز</t>
        </is>
      </c>
      <c r="M317" s="9">
        <f>IF(D317="","",IF(L317="انجام شده","انجام شده",IF(L317="لغو شده","لغو شده",IF(G317&lt;TODAY(),"عقب‌افتاده",IF(G317=TODAY(),"امروز",IF(G317&lt;=TODAY()+7,"تا ۷ روز",IF(G317&lt;=TODAY()+15,"تا ۱۵ روز","آینده")))))))</f>
        <v/>
      </c>
      <c r="N317" s="9" t="inlineStr"/>
      <c r="O317" s="9" t="n">
        <v>0</v>
      </c>
      <c r="P317" s="10" t="n"/>
      <c r="Q317" s="9" t="inlineStr"/>
      <c r="R317" s="9" t="inlineStr">
        <is>
          <t>پیش‌فرض 1405</t>
        </is>
      </c>
      <c r="S317" s="9" t="inlineStr">
        <is>
          <t>T104</t>
        </is>
      </c>
      <c r="T317" s="9" t="inlineStr">
        <is>
          <t>بله</t>
        </is>
      </c>
    </row>
    <row r="318">
      <c r="A318" s="9" t="inlineStr">
        <is>
          <t>1405-0317</t>
        </is>
      </c>
      <c r="B318" s="9" t="inlineStr">
        <is>
          <t>کیوان الکترونیک ایرانیان</t>
        </is>
      </c>
      <c r="C318" s="9" t="inlineStr">
        <is>
          <t>حقوق و دستمزد</t>
        </is>
      </c>
      <c r="D318" s="9" t="inlineStr">
        <is>
          <t>محاسبه حقوق و دستمزد ماه تیر</t>
        </is>
      </c>
      <c r="E318" s="9" t="inlineStr">
        <is>
          <t>ماهانه</t>
        </is>
      </c>
      <c r="F318" s="9" t="inlineStr">
        <is>
          <t>تیر</t>
        </is>
      </c>
      <c r="G318" s="10" t="n">
        <v>46222</v>
      </c>
      <c r="H318" s="9" t="inlineStr">
        <is>
          <t>1405/04/28</t>
        </is>
      </c>
      <c r="I318" s="9" t="n">
        <v>5</v>
      </c>
      <c r="J318" s="10">
        <f>IF(G318="","",G318-I318)</f>
        <v/>
      </c>
      <c r="K318" s="9" t="inlineStr">
        <is>
          <t>بالا</t>
        </is>
      </c>
      <c r="L318" s="9" t="inlineStr">
        <is>
          <t>باز</t>
        </is>
      </c>
      <c r="M318" s="9">
        <f>IF(D318="","",IF(L318="انجام شده","انجام شده",IF(L318="لغو شده","لغو شده",IF(G318&lt;TODAY(),"عقب‌افتاده",IF(G318=TODAY(),"امروز",IF(G318&lt;=TODAY()+7,"تا ۷ روز",IF(G318&lt;=TODAY()+15,"تا ۱۵ روز","آینده")))))))</f>
        <v/>
      </c>
      <c r="N318" s="9" t="inlineStr"/>
      <c r="O318" s="9" t="n">
        <v>0</v>
      </c>
      <c r="P318" s="10" t="n"/>
      <c r="Q318" s="9" t="inlineStr"/>
      <c r="R318" s="9" t="inlineStr">
        <is>
          <t>پیش‌فرض 1405</t>
        </is>
      </c>
      <c r="S318" s="9" t="inlineStr">
        <is>
          <t>T105</t>
        </is>
      </c>
      <c r="T318" s="9" t="inlineStr">
        <is>
          <t>بله</t>
        </is>
      </c>
    </row>
    <row r="319">
      <c r="A319" s="9" t="inlineStr">
        <is>
          <t>1405-0318</t>
        </is>
      </c>
      <c r="B319" s="9" t="inlineStr">
        <is>
          <t>کیوان الکترونیک ایرانیان</t>
        </is>
      </c>
      <c r="C319" s="9" t="inlineStr">
        <is>
          <t>حقوق و دستمزد</t>
        </is>
      </c>
      <c r="D319" s="9" t="inlineStr">
        <is>
          <t>ارسال/پرداخت لیست بیمه ماه تیر</t>
        </is>
      </c>
      <c r="E319" s="9" t="inlineStr">
        <is>
          <t>ماهانه</t>
        </is>
      </c>
      <c r="F319" s="9" t="inlineStr">
        <is>
          <t>تیر</t>
        </is>
      </c>
      <c r="G319" s="10" t="n">
        <v>46256</v>
      </c>
      <c r="H319" s="9" t="inlineStr">
        <is>
          <t>1405/05/31</t>
        </is>
      </c>
      <c r="I319" s="9" t="n">
        <v>7</v>
      </c>
      <c r="J319" s="10">
        <f>IF(G319="","",G319-I319)</f>
        <v/>
      </c>
      <c r="K319" s="9" t="inlineStr">
        <is>
          <t>خیلی بالا</t>
        </is>
      </c>
      <c r="L319" s="9" t="inlineStr">
        <is>
          <t>باز</t>
        </is>
      </c>
      <c r="M319" s="9">
        <f>IF(D319="","",IF(L319="انجام شده","انجام شده",IF(L319="لغو شده","لغو شده",IF(G319&lt;TODAY(),"عقب‌افتاده",IF(G319=TODAY(),"امروز",IF(G319&lt;=TODAY()+7,"تا ۷ روز",IF(G319&lt;=TODAY()+15,"تا ۱۵ روز","آینده")))))))</f>
        <v/>
      </c>
      <c r="N319" s="9" t="inlineStr"/>
      <c r="O319" s="9" t="n">
        <v>0</v>
      </c>
      <c r="P319" s="10" t="n"/>
      <c r="Q319" s="9" t="inlineStr"/>
      <c r="R319" s="9" t="inlineStr">
        <is>
          <t>پیش‌فرض 1405</t>
        </is>
      </c>
      <c r="S319" s="9" t="inlineStr">
        <is>
          <t>T106</t>
        </is>
      </c>
      <c r="T319" s="9" t="inlineStr">
        <is>
          <t>بله</t>
        </is>
      </c>
    </row>
    <row r="320">
      <c r="A320" s="9" t="inlineStr">
        <is>
          <t>1405-0319</t>
        </is>
      </c>
      <c r="B320" s="9" t="inlineStr">
        <is>
          <t>کیوان الکترونیک ایرانیان</t>
        </is>
      </c>
      <c r="C320" s="9" t="inlineStr">
        <is>
          <t>حقوق و دستمزد</t>
        </is>
      </c>
      <c r="D320" s="9" t="inlineStr">
        <is>
          <t>ارسال/پرداخت مالیات حقوق ماه تیر</t>
        </is>
      </c>
      <c r="E320" s="9" t="inlineStr">
        <is>
          <t>ماهانه</t>
        </is>
      </c>
      <c r="F320" s="9" t="inlineStr">
        <is>
          <t>تیر</t>
        </is>
      </c>
      <c r="G320" s="10" t="n">
        <v>46256</v>
      </c>
      <c r="H320" s="9" t="inlineStr">
        <is>
          <t>1405/05/31</t>
        </is>
      </c>
      <c r="I320" s="9" t="n">
        <v>7</v>
      </c>
      <c r="J320" s="10">
        <f>IF(G320="","",G320-I320)</f>
        <v/>
      </c>
      <c r="K320" s="9" t="inlineStr">
        <is>
          <t>خیلی بالا</t>
        </is>
      </c>
      <c r="L320" s="9" t="inlineStr">
        <is>
          <t>باز</t>
        </is>
      </c>
      <c r="M320" s="9">
        <f>IF(D320="","",IF(L320="انجام شده","انجام شده",IF(L320="لغو شده","لغو شده",IF(G320&lt;TODAY(),"عقب‌افتاده",IF(G320=TODAY(),"امروز",IF(G320&lt;=TODAY()+7,"تا ۷ روز",IF(G320&lt;=TODAY()+15,"تا ۱۵ روز","آینده")))))))</f>
        <v/>
      </c>
      <c r="N320" s="9" t="inlineStr"/>
      <c r="O320" s="9" t="n">
        <v>0</v>
      </c>
      <c r="P320" s="10" t="n"/>
      <c r="Q320" s="9" t="inlineStr"/>
      <c r="R320" s="9" t="inlineStr">
        <is>
          <t>پیش‌فرض 1405</t>
        </is>
      </c>
      <c r="S320" s="9" t="inlineStr">
        <is>
          <t>T107</t>
        </is>
      </c>
      <c r="T320" s="9" t="inlineStr">
        <is>
          <t>بله</t>
        </is>
      </c>
    </row>
    <row r="321">
      <c r="A321" s="9" t="inlineStr">
        <is>
          <t>1405-0320</t>
        </is>
      </c>
      <c r="B321" s="9" t="inlineStr">
        <is>
          <t>کیوان الکترونیک ایرانیان</t>
        </is>
      </c>
      <c r="C321" s="9" t="inlineStr">
        <is>
          <t>بایگانی</t>
        </is>
      </c>
      <c r="D321" s="9" t="inlineStr">
        <is>
          <t>بایگانی مدارک و اسناد ماه تیر</t>
        </is>
      </c>
      <c r="E321" s="9" t="inlineStr">
        <is>
          <t>ماهانه</t>
        </is>
      </c>
      <c r="F321" s="9" t="inlineStr">
        <is>
          <t>تیر</t>
        </is>
      </c>
      <c r="G321" s="10" t="n">
        <v>46240</v>
      </c>
      <c r="H321" s="9" t="inlineStr">
        <is>
          <t>1405/05/15</t>
        </is>
      </c>
      <c r="I321" s="9" t="n">
        <v>3</v>
      </c>
      <c r="J321" s="10">
        <f>IF(G321="","",G321-I321)</f>
        <v/>
      </c>
      <c r="K321" s="9" t="inlineStr">
        <is>
          <t>متوسط</t>
        </is>
      </c>
      <c r="L321" s="9" t="inlineStr">
        <is>
          <t>باز</t>
        </is>
      </c>
      <c r="M321" s="9">
        <f>IF(D321="","",IF(L321="انجام شده","انجام شده",IF(L321="لغو شده","لغو شده",IF(G321&lt;TODAY(),"عقب‌افتاده",IF(G321=TODAY(),"امروز",IF(G321&lt;=TODAY()+7,"تا ۷ روز",IF(G321&lt;=TODAY()+15,"تا ۱۵ روز","آینده")))))))</f>
        <v/>
      </c>
      <c r="N321" s="9" t="inlineStr"/>
      <c r="O321" s="9" t="n">
        <v>0</v>
      </c>
      <c r="P321" s="10" t="n"/>
      <c r="Q321" s="9" t="inlineStr"/>
      <c r="R321" s="9" t="inlineStr">
        <is>
          <t>پیش‌فرض 1405</t>
        </is>
      </c>
      <c r="S321" s="9" t="inlineStr">
        <is>
          <t>T108</t>
        </is>
      </c>
      <c r="T321" s="9" t="inlineStr">
        <is>
          <t>بله</t>
        </is>
      </c>
    </row>
    <row r="322">
      <c r="A322" s="9" t="inlineStr">
        <is>
          <t>1405-0321</t>
        </is>
      </c>
      <c r="B322" s="9" t="inlineStr">
        <is>
          <t>کیوان الکترونیک ایرانیان</t>
        </is>
      </c>
      <c r="C322" s="9" t="inlineStr">
        <is>
          <t>پایان ماه</t>
        </is>
      </c>
      <c r="D322" s="9" t="inlineStr">
        <is>
          <t>مغایرت‌گیری بانکی ماه مرداد</t>
        </is>
      </c>
      <c r="E322" s="9" t="inlineStr">
        <is>
          <t>ماهانه</t>
        </is>
      </c>
      <c r="F322" s="9" t="inlineStr">
        <is>
          <t>مرداد</t>
        </is>
      </c>
      <c r="G322" s="10" t="n">
        <v>46261</v>
      </c>
      <c r="H322" s="9" t="inlineStr">
        <is>
          <t>1405/06/05</t>
        </is>
      </c>
      <c r="I322" s="9" t="n">
        <v>5</v>
      </c>
      <c r="J322" s="10">
        <f>IF(G322="","",G322-I322)</f>
        <v/>
      </c>
      <c r="K322" s="9" t="inlineStr">
        <is>
          <t>بالا</t>
        </is>
      </c>
      <c r="L322" s="9" t="inlineStr">
        <is>
          <t>باز</t>
        </is>
      </c>
      <c r="M322" s="9">
        <f>IF(D322="","",IF(L322="انجام شده","انجام شده",IF(L322="لغو شده","لغو شده",IF(G322&lt;TODAY(),"عقب‌افتاده",IF(G322=TODAY(),"امروز",IF(G322&lt;=TODAY()+7,"تا ۷ روز",IF(G322&lt;=TODAY()+15,"تا ۱۵ روز","آینده")))))))</f>
        <v/>
      </c>
      <c r="N322" s="9" t="inlineStr"/>
      <c r="O322" s="9" t="n">
        <v>0</v>
      </c>
      <c r="P322" s="10" t="n"/>
      <c r="Q322" s="9" t="inlineStr"/>
      <c r="R322" s="9" t="inlineStr">
        <is>
          <t>پیش‌فرض 1405</t>
        </is>
      </c>
      <c r="S322" s="9" t="inlineStr">
        <is>
          <t>T101</t>
        </is>
      </c>
      <c r="T322" s="9" t="inlineStr">
        <is>
          <t>بله</t>
        </is>
      </c>
    </row>
    <row r="323">
      <c r="A323" s="9" t="inlineStr">
        <is>
          <t>1405-0322</t>
        </is>
      </c>
      <c r="B323" s="9" t="inlineStr">
        <is>
          <t>کیوان الکترونیک ایرانیان</t>
        </is>
      </c>
      <c r="C323" s="9" t="inlineStr">
        <is>
          <t>پایان ماه</t>
        </is>
      </c>
      <c r="D323" s="9" t="inlineStr">
        <is>
          <t>کنترل نهایی اسناد ماه مرداد</t>
        </is>
      </c>
      <c r="E323" s="9" t="inlineStr">
        <is>
          <t>ماهانه</t>
        </is>
      </c>
      <c r="F323" s="9" t="inlineStr">
        <is>
          <t>مرداد</t>
        </is>
      </c>
      <c r="G323" s="10" t="n">
        <v>46263</v>
      </c>
      <c r="H323" s="9" t="inlineStr">
        <is>
          <t>1405/06/07</t>
        </is>
      </c>
      <c r="I323" s="9" t="n">
        <v>5</v>
      </c>
      <c r="J323" s="10">
        <f>IF(G323="","",G323-I323)</f>
        <v/>
      </c>
      <c r="K323" s="9" t="inlineStr">
        <is>
          <t>بالا</t>
        </is>
      </c>
      <c r="L323" s="9" t="inlineStr">
        <is>
          <t>باز</t>
        </is>
      </c>
      <c r="M323" s="9">
        <f>IF(D323="","",IF(L323="انجام شده","انجام شده",IF(L323="لغو شده","لغو شده",IF(G323&lt;TODAY(),"عقب‌افتاده",IF(G323=TODAY(),"امروز",IF(G323&lt;=TODAY()+7,"تا ۷ روز",IF(G323&lt;=TODAY()+15,"تا ۱۵ روز","آینده")))))))</f>
        <v/>
      </c>
      <c r="N323" s="9" t="inlineStr"/>
      <c r="O323" s="9" t="n">
        <v>0</v>
      </c>
      <c r="P323" s="10" t="n"/>
      <c r="Q323" s="9" t="inlineStr"/>
      <c r="R323" s="9" t="inlineStr">
        <is>
          <t>پیش‌فرض 1405</t>
        </is>
      </c>
      <c r="S323" s="9" t="inlineStr">
        <is>
          <t>T102</t>
        </is>
      </c>
      <c r="T323" s="9" t="inlineStr">
        <is>
          <t>بله</t>
        </is>
      </c>
    </row>
    <row r="324">
      <c r="A324" s="9" t="inlineStr">
        <is>
          <t>1405-0323</t>
        </is>
      </c>
      <c r="B324" s="9" t="inlineStr">
        <is>
          <t>کیوان الکترونیک ایرانیان</t>
        </is>
      </c>
      <c r="C324" s="9" t="inlineStr">
        <is>
          <t>پایان ماه</t>
        </is>
      </c>
      <c r="D324" s="9" t="inlineStr">
        <is>
          <t>بستن حساب‌های ماه مرداد و کنترل مانده‌ها</t>
        </is>
      </c>
      <c r="E324" s="9" t="inlineStr">
        <is>
          <t>ماهانه</t>
        </is>
      </c>
      <c r="F324" s="9" t="inlineStr">
        <is>
          <t>مرداد</t>
        </is>
      </c>
      <c r="G324" s="10" t="n">
        <v>46266</v>
      </c>
      <c r="H324" s="9" t="inlineStr">
        <is>
          <t>1405/06/10</t>
        </is>
      </c>
      <c r="I324" s="9" t="n">
        <v>7</v>
      </c>
      <c r="J324" s="10">
        <f>IF(G324="","",G324-I324)</f>
        <v/>
      </c>
      <c r="K324" s="9" t="inlineStr">
        <is>
          <t>بالا</t>
        </is>
      </c>
      <c r="L324" s="9" t="inlineStr">
        <is>
          <t>باز</t>
        </is>
      </c>
      <c r="M324" s="9">
        <f>IF(D324="","",IF(L324="انجام شده","انجام شده",IF(L324="لغو شده","لغو شده",IF(G324&lt;TODAY(),"عقب‌افتاده",IF(G324=TODAY(),"امروز",IF(G324&lt;=TODAY()+7,"تا ۷ روز",IF(G324&lt;=TODAY()+15,"تا ۱۵ روز","آینده")))))))</f>
        <v/>
      </c>
      <c r="N324" s="9" t="inlineStr"/>
      <c r="O324" s="9" t="n">
        <v>0</v>
      </c>
      <c r="P324" s="10" t="n"/>
      <c r="Q324" s="9" t="inlineStr"/>
      <c r="R324" s="9" t="inlineStr">
        <is>
          <t>پیش‌فرض 1405</t>
        </is>
      </c>
      <c r="S324" s="9" t="inlineStr">
        <is>
          <t>T103</t>
        </is>
      </c>
      <c r="T324" s="9" t="inlineStr">
        <is>
          <t>بله</t>
        </is>
      </c>
    </row>
    <row r="325">
      <c r="A325" s="9" t="inlineStr">
        <is>
          <t>1405-0324</t>
        </is>
      </c>
      <c r="B325" s="9" t="inlineStr">
        <is>
          <t>کیوان الکترونیک ایرانیان</t>
        </is>
      </c>
      <c r="C325" s="9" t="inlineStr">
        <is>
          <t>گزارش</t>
        </is>
      </c>
      <c r="D325" s="9" t="inlineStr">
        <is>
          <t>تهیه گزارش مدیریت ماه مرداد</t>
        </is>
      </c>
      <c r="E325" s="9" t="inlineStr">
        <is>
          <t>ماهانه</t>
        </is>
      </c>
      <c r="F325" s="9" t="inlineStr">
        <is>
          <t>مرداد</t>
        </is>
      </c>
      <c r="G325" s="10" t="n">
        <v>46266</v>
      </c>
      <c r="H325" s="9" t="inlineStr">
        <is>
          <t>1405/06/10</t>
        </is>
      </c>
      <c r="I325" s="9" t="n">
        <v>5</v>
      </c>
      <c r="J325" s="10">
        <f>IF(G325="","",G325-I325)</f>
        <v/>
      </c>
      <c r="K325" s="9" t="inlineStr">
        <is>
          <t>متوسط</t>
        </is>
      </c>
      <c r="L325" s="9" t="inlineStr">
        <is>
          <t>باز</t>
        </is>
      </c>
      <c r="M325" s="9">
        <f>IF(D325="","",IF(L325="انجام شده","انجام شده",IF(L325="لغو شده","لغو شده",IF(G325&lt;TODAY(),"عقب‌افتاده",IF(G325=TODAY(),"امروز",IF(G325&lt;=TODAY()+7,"تا ۷ روز",IF(G325&lt;=TODAY()+15,"تا ۱۵ روز","آینده")))))))</f>
        <v/>
      </c>
      <c r="N325" s="9" t="inlineStr"/>
      <c r="O325" s="9" t="n">
        <v>0</v>
      </c>
      <c r="P325" s="10" t="n"/>
      <c r="Q325" s="9" t="inlineStr"/>
      <c r="R325" s="9" t="inlineStr">
        <is>
          <t>پیش‌فرض 1405</t>
        </is>
      </c>
      <c r="S325" s="9" t="inlineStr">
        <is>
          <t>T104</t>
        </is>
      </c>
      <c r="T325" s="9" t="inlineStr">
        <is>
          <t>بله</t>
        </is>
      </c>
    </row>
    <row r="326">
      <c r="A326" s="9" t="inlineStr">
        <is>
          <t>1405-0325</t>
        </is>
      </c>
      <c r="B326" s="9" t="inlineStr">
        <is>
          <t>کیوان الکترونیک ایرانیان</t>
        </is>
      </c>
      <c r="C326" s="9" t="inlineStr">
        <is>
          <t>حقوق و دستمزد</t>
        </is>
      </c>
      <c r="D326" s="9" t="inlineStr">
        <is>
          <t>محاسبه حقوق و دستمزد ماه مرداد</t>
        </is>
      </c>
      <c r="E326" s="9" t="inlineStr">
        <is>
          <t>ماهانه</t>
        </is>
      </c>
      <c r="F326" s="9" t="inlineStr">
        <is>
          <t>مرداد</t>
        </is>
      </c>
      <c r="G326" s="10" t="n">
        <v>46253</v>
      </c>
      <c r="H326" s="9" t="inlineStr">
        <is>
          <t>1405/05/28</t>
        </is>
      </c>
      <c r="I326" s="9" t="n">
        <v>5</v>
      </c>
      <c r="J326" s="10">
        <f>IF(G326="","",G326-I326)</f>
        <v/>
      </c>
      <c r="K326" s="9" t="inlineStr">
        <is>
          <t>بالا</t>
        </is>
      </c>
      <c r="L326" s="9" t="inlineStr">
        <is>
          <t>باز</t>
        </is>
      </c>
      <c r="M326" s="9">
        <f>IF(D326="","",IF(L326="انجام شده","انجام شده",IF(L326="لغو شده","لغو شده",IF(G326&lt;TODAY(),"عقب‌افتاده",IF(G326=TODAY(),"امروز",IF(G326&lt;=TODAY()+7,"تا ۷ روز",IF(G326&lt;=TODAY()+15,"تا ۱۵ روز","آینده")))))))</f>
        <v/>
      </c>
      <c r="N326" s="9" t="inlineStr"/>
      <c r="O326" s="9" t="n">
        <v>0</v>
      </c>
      <c r="P326" s="10" t="n"/>
      <c r="Q326" s="9" t="inlineStr"/>
      <c r="R326" s="9" t="inlineStr">
        <is>
          <t>پیش‌فرض 1405</t>
        </is>
      </c>
      <c r="S326" s="9" t="inlineStr">
        <is>
          <t>T105</t>
        </is>
      </c>
      <c r="T326" s="9" t="inlineStr">
        <is>
          <t>بله</t>
        </is>
      </c>
    </row>
    <row r="327">
      <c r="A327" s="9" t="inlineStr">
        <is>
          <t>1405-0326</t>
        </is>
      </c>
      <c r="B327" s="9" t="inlineStr">
        <is>
          <t>کیوان الکترونیک ایرانیان</t>
        </is>
      </c>
      <c r="C327" s="9" t="inlineStr">
        <is>
          <t>حقوق و دستمزد</t>
        </is>
      </c>
      <c r="D327" s="9" t="inlineStr">
        <is>
          <t>ارسال/پرداخت لیست بیمه ماه مرداد</t>
        </is>
      </c>
      <c r="E327" s="9" t="inlineStr">
        <is>
          <t>ماهانه</t>
        </is>
      </c>
      <c r="F327" s="9" t="inlineStr">
        <is>
          <t>مرداد</t>
        </is>
      </c>
      <c r="G327" s="10" t="n">
        <v>46287</v>
      </c>
      <c r="H327" s="9" t="inlineStr">
        <is>
          <t>1405/06/31</t>
        </is>
      </c>
      <c r="I327" s="9" t="n">
        <v>7</v>
      </c>
      <c r="J327" s="10">
        <f>IF(G327="","",G327-I327)</f>
        <v/>
      </c>
      <c r="K327" s="9" t="inlineStr">
        <is>
          <t>خیلی بالا</t>
        </is>
      </c>
      <c r="L327" s="9" t="inlineStr">
        <is>
          <t>باز</t>
        </is>
      </c>
      <c r="M327" s="9">
        <f>IF(D327="","",IF(L327="انجام شده","انجام شده",IF(L327="لغو شده","لغو شده",IF(G327&lt;TODAY(),"عقب‌افتاده",IF(G327=TODAY(),"امروز",IF(G327&lt;=TODAY()+7,"تا ۷ روز",IF(G327&lt;=TODAY()+15,"تا ۱۵ روز","آینده")))))))</f>
        <v/>
      </c>
      <c r="N327" s="9" t="inlineStr"/>
      <c r="O327" s="9" t="n">
        <v>0</v>
      </c>
      <c r="P327" s="10" t="n"/>
      <c r="Q327" s="9" t="inlineStr"/>
      <c r="R327" s="9" t="inlineStr">
        <is>
          <t>پیش‌فرض 1405</t>
        </is>
      </c>
      <c r="S327" s="9" t="inlineStr">
        <is>
          <t>T106</t>
        </is>
      </c>
      <c r="T327" s="9" t="inlineStr">
        <is>
          <t>بله</t>
        </is>
      </c>
    </row>
    <row r="328">
      <c r="A328" s="9" t="inlineStr">
        <is>
          <t>1405-0327</t>
        </is>
      </c>
      <c r="B328" s="9" t="inlineStr">
        <is>
          <t>کیوان الکترونیک ایرانیان</t>
        </is>
      </c>
      <c r="C328" s="9" t="inlineStr">
        <is>
          <t>حقوق و دستمزد</t>
        </is>
      </c>
      <c r="D328" s="9" t="inlineStr">
        <is>
          <t>ارسال/پرداخت مالیات حقوق ماه مرداد</t>
        </is>
      </c>
      <c r="E328" s="9" t="inlineStr">
        <is>
          <t>ماهانه</t>
        </is>
      </c>
      <c r="F328" s="9" t="inlineStr">
        <is>
          <t>مرداد</t>
        </is>
      </c>
      <c r="G328" s="10" t="n">
        <v>46287</v>
      </c>
      <c r="H328" s="9" t="inlineStr">
        <is>
          <t>1405/06/31</t>
        </is>
      </c>
      <c r="I328" s="9" t="n">
        <v>7</v>
      </c>
      <c r="J328" s="10">
        <f>IF(G328="","",G328-I328)</f>
        <v/>
      </c>
      <c r="K328" s="9" t="inlineStr">
        <is>
          <t>خیلی بالا</t>
        </is>
      </c>
      <c r="L328" s="9" t="inlineStr">
        <is>
          <t>باز</t>
        </is>
      </c>
      <c r="M328" s="9">
        <f>IF(D328="","",IF(L328="انجام شده","انجام شده",IF(L328="لغو شده","لغو شده",IF(G328&lt;TODAY(),"عقب‌افتاده",IF(G328=TODAY(),"امروز",IF(G328&lt;=TODAY()+7,"تا ۷ روز",IF(G328&lt;=TODAY()+15,"تا ۱۵ روز","آینده")))))))</f>
        <v/>
      </c>
      <c r="N328" s="9" t="inlineStr"/>
      <c r="O328" s="9" t="n">
        <v>0</v>
      </c>
      <c r="P328" s="10" t="n"/>
      <c r="Q328" s="9" t="inlineStr"/>
      <c r="R328" s="9" t="inlineStr">
        <is>
          <t>پیش‌فرض 1405</t>
        </is>
      </c>
      <c r="S328" s="9" t="inlineStr">
        <is>
          <t>T107</t>
        </is>
      </c>
      <c r="T328" s="9" t="inlineStr">
        <is>
          <t>بله</t>
        </is>
      </c>
    </row>
    <row r="329">
      <c r="A329" s="9" t="inlineStr">
        <is>
          <t>1405-0328</t>
        </is>
      </c>
      <c r="B329" s="9" t="inlineStr">
        <is>
          <t>کیوان الکترونیک ایرانیان</t>
        </is>
      </c>
      <c r="C329" s="9" t="inlineStr">
        <is>
          <t>بایگانی</t>
        </is>
      </c>
      <c r="D329" s="9" t="inlineStr">
        <is>
          <t>بایگانی مدارک و اسناد ماه مرداد</t>
        </is>
      </c>
      <c r="E329" s="9" t="inlineStr">
        <is>
          <t>ماهانه</t>
        </is>
      </c>
      <c r="F329" s="9" t="inlineStr">
        <is>
          <t>مرداد</t>
        </is>
      </c>
      <c r="G329" s="10" t="n">
        <v>46271</v>
      </c>
      <c r="H329" s="9" t="inlineStr">
        <is>
          <t>1405/06/15</t>
        </is>
      </c>
      <c r="I329" s="9" t="n">
        <v>3</v>
      </c>
      <c r="J329" s="10">
        <f>IF(G329="","",G329-I329)</f>
        <v/>
      </c>
      <c r="K329" s="9" t="inlineStr">
        <is>
          <t>متوسط</t>
        </is>
      </c>
      <c r="L329" s="9" t="inlineStr">
        <is>
          <t>باز</t>
        </is>
      </c>
      <c r="M329" s="9">
        <f>IF(D329="","",IF(L329="انجام شده","انجام شده",IF(L329="لغو شده","لغو شده",IF(G329&lt;TODAY(),"عقب‌افتاده",IF(G329=TODAY(),"امروز",IF(G329&lt;=TODAY()+7,"تا ۷ روز",IF(G329&lt;=TODAY()+15,"تا ۱۵ روز","آینده")))))))</f>
        <v/>
      </c>
      <c r="N329" s="9" t="inlineStr"/>
      <c r="O329" s="9" t="n">
        <v>0</v>
      </c>
      <c r="P329" s="10" t="n"/>
      <c r="Q329" s="9" t="inlineStr"/>
      <c r="R329" s="9" t="inlineStr">
        <is>
          <t>پیش‌فرض 1405</t>
        </is>
      </c>
      <c r="S329" s="9" t="inlineStr">
        <is>
          <t>T108</t>
        </is>
      </c>
      <c r="T329" s="9" t="inlineStr">
        <is>
          <t>بله</t>
        </is>
      </c>
    </row>
    <row r="330">
      <c r="A330" s="9" t="inlineStr">
        <is>
          <t>1405-0329</t>
        </is>
      </c>
      <c r="B330" s="9" t="inlineStr">
        <is>
          <t>کیوان الکترونیک ایرانیان</t>
        </is>
      </c>
      <c r="C330" s="9" t="inlineStr">
        <is>
          <t>پایان ماه</t>
        </is>
      </c>
      <c r="D330" s="9" t="inlineStr">
        <is>
          <t>مغایرت‌گیری بانکی ماه شهریور</t>
        </is>
      </c>
      <c r="E330" s="9" t="inlineStr">
        <is>
          <t>ماهانه</t>
        </is>
      </c>
      <c r="F330" s="9" t="inlineStr">
        <is>
          <t>شهریور</t>
        </is>
      </c>
      <c r="G330" s="10" t="n">
        <v>46292</v>
      </c>
      <c r="H330" s="9" t="inlineStr">
        <is>
          <t>1405/07/05</t>
        </is>
      </c>
      <c r="I330" s="9" t="n">
        <v>5</v>
      </c>
      <c r="J330" s="10">
        <f>IF(G330="","",G330-I330)</f>
        <v/>
      </c>
      <c r="K330" s="9" t="inlineStr">
        <is>
          <t>بالا</t>
        </is>
      </c>
      <c r="L330" s="9" t="inlineStr">
        <is>
          <t>باز</t>
        </is>
      </c>
      <c r="M330" s="9">
        <f>IF(D330="","",IF(L330="انجام شده","انجام شده",IF(L330="لغو شده","لغو شده",IF(G330&lt;TODAY(),"عقب‌افتاده",IF(G330=TODAY(),"امروز",IF(G330&lt;=TODAY()+7,"تا ۷ روز",IF(G330&lt;=TODAY()+15,"تا ۱۵ روز","آینده")))))))</f>
        <v/>
      </c>
      <c r="N330" s="9" t="inlineStr"/>
      <c r="O330" s="9" t="n">
        <v>0</v>
      </c>
      <c r="P330" s="10" t="n"/>
      <c r="Q330" s="9" t="inlineStr"/>
      <c r="R330" s="9" t="inlineStr">
        <is>
          <t>پیش‌فرض 1405</t>
        </is>
      </c>
      <c r="S330" s="9" t="inlineStr">
        <is>
          <t>T101</t>
        </is>
      </c>
      <c r="T330" s="9" t="inlineStr">
        <is>
          <t>بله</t>
        </is>
      </c>
    </row>
    <row r="331">
      <c r="A331" s="9" t="inlineStr">
        <is>
          <t>1405-0330</t>
        </is>
      </c>
      <c r="B331" s="9" t="inlineStr">
        <is>
          <t>کیوان الکترونیک ایرانیان</t>
        </is>
      </c>
      <c r="C331" s="9" t="inlineStr">
        <is>
          <t>پایان ماه</t>
        </is>
      </c>
      <c r="D331" s="9" t="inlineStr">
        <is>
          <t>کنترل نهایی اسناد ماه شهریور</t>
        </is>
      </c>
      <c r="E331" s="9" t="inlineStr">
        <is>
          <t>ماهانه</t>
        </is>
      </c>
      <c r="F331" s="9" t="inlineStr">
        <is>
          <t>شهریور</t>
        </is>
      </c>
      <c r="G331" s="10" t="n">
        <v>46294</v>
      </c>
      <c r="H331" s="9" t="inlineStr">
        <is>
          <t>1405/07/07</t>
        </is>
      </c>
      <c r="I331" s="9" t="n">
        <v>5</v>
      </c>
      <c r="J331" s="10">
        <f>IF(G331="","",G331-I331)</f>
        <v/>
      </c>
      <c r="K331" s="9" t="inlineStr">
        <is>
          <t>بالا</t>
        </is>
      </c>
      <c r="L331" s="9" t="inlineStr">
        <is>
          <t>باز</t>
        </is>
      </c>
      <c r="M331" s="9">
        <f>IF(D331="","",IF(L331="انجام شده","انجام شده",IF(L331="لغو شده","لغو شده",IF(G331&lt;TODAY(),"عقب‌افتاده",IF(G331=TODAY(),"امروز",IF(G331&lt;=TODAY()+7,"تا ۷ روز",IF(G331&lt;=TODAY()+15,"تا ۱۵ روز","آینده")))))))</f>
        <v/>
      </c>
      <c r="N331" s="9" t="inlineStr"/>
      <c r="O331" s="9" t="n">
        <v>0</v>
      </c>
      <c r="P331" s="10" t="n"/>
      <c r="Q331" s="9" t="inlineStr"/>
      <c r="R331" s="9" t="inlineStr">
        <is>
          <t>پیش‌فرض 1405</t>
        </is>
      </c>
      <c r="S331" s="9" t="inlineStr">
        <is>
          <t>T102</t>
        </is>
      </c>
      <c r="T331" s="9" t="inlineStr">
        <is>
          <t>بله</t>
        </is>
      </c>
    </row>
    <row r="332">
      <c r="A332" s="9" t="inlineStr">
        <is>
          <t>1405-0331</t>
        </is>
      </c>
      <c r="B332" s="9" t="inlineStr">
        <is>
          <t>کیوان الکترونیک ایرانیان</t>
        </is>
      </c>
      <c r="C332" s="9" t="inlineStr">
        <is>
          <t>پایان ماه</t>
        </is>
      </c>
      <c r="D332" s="9" t="inlineStr">
        <is>
          <t>بستن حساب‌های ماه شهریور و کنترل مانده‌ها</t>
        </is>
      </c>
      <c r="E332" s="9" t="inlineStr">
        <is>
          <t>ماهانه</t>
        </is>
      </c>
      <c r="F332" s="9" t="inlineStr">
        <is>
          <t>شهریور</t>
        </is>
      </c>
      <c r="G332" s="10" t="n">
        <v>46297</v>
      </c>
      <c r="H332" s="9" t="inlineStr">
        <is>
          <t>1405/07/10</t>
        </is>
      </c>
      <c r="I332" s="9" t="n">
        <v>7</v>
      </c>
      <c r="J332" s="10">
        <f>IF(G332="","",G332-I332)</f>
        <v/>
      </c>
      <c r="K332" s="9" t="inlineStr">
        <is>
          <t>بالا</t>
        </is>
      </c>
      <c r="L332" s="9" t="inlineStr">
        <is>
          <t>باز</t>
        </is>
      </c>
      <c r="M332" s="9">
        <f>IF(D332="","",IF(L332="انجام شده","انجام شده",IF(L332="لغو شده","لغو شده",IF(G332&lt;TODAY(),"عقب‌افتاده",IF(G332=TODAY(),"امروز",IF(G332&lt;=TODAY()+7,"تا ۷ روز",IF(G332&lt;=TODAY()+15,"تا ۱۵ روز","آینده")))))))</f>
        <v/>
      </c>
      <c r="N332" s="9" t="inlineStr"/>
      <c r="O332" s="9" t="n">
        <v>0</v>
      </c>
      <c r="P332" s="10" t="n"/>
      <c r="Q332" s="9" t="inlineStr"/>
      <c r="R332" s="9" t="inlineStr">
        <is>
          <t>پیش‌فرض 1405</t>
        </is>
      </c>
      <c r="S332" s="9" t="inlineStr">
        <is>
          <t>T103</t>
        </is>
      </c>
      <c r="T332" s="9" t="inlineStr">
        <is>
          <t>بله</t>
        </is>
      </c>
    </row>
    <row r="333">
      <c r="A333" s="9" t="inlineStr">
        <is>
          <t>1405-0332</t>
        </is>
      </c>
      <c r="B333" s="9" t="inlineStr">
        <is>
          <t>کیوان الکترونیک ایرانیان</t>
        </is>
      </c>
      <c r="C333" s="9" t="inlineStr">
        <is>
          <t>گزارش</t>
        </is>
      </c>
      <c r="D333" s="9" t="inlineStr">
        <is>
          <t>تهیه گزارش مدیریت ماه شهریور</t>
        </is>
      </c>
      <c r="E333" s="9" t="inlineStr">
        <is>
          <t>ماهانه</t>
        </is>
      </c>
      <c r="F333" s="9" t="inlineStr">
        <is>
          <t>شهریور</t>
        </is>
      </c>
      <c r="G333" s="10" t="n">
        <v>46297</v>
      </c>
      <c r="H333" s="9" t="inlineStr">
        <is>
          <t>1405/07/10</t>
        </is>
      </c>
      <c r="I333" s="9" t="n">
        <v>5</v>
      </c>
      <c r="J333" s="10">
        <f>IF(G333="","",G333-I333)</f>
        <v/>
      </c>
      <c r="K333" s="9" t="inlineStr">
        <is>
          <t>متوسط</t>
        </is>
      </c>
      <c r="L333" s="9" t="inlineStr">
        <is>
          <t>باز</t>
        </is>
      </c>
      <c r="M333" s="9">
        <f>IF(D333="","",IF(L333="انجام شده","انجام شده",IF(L333="لغو شده","لغو شده",IF(G333&lt;TODAY(),"عقب‌افتاده",IF(G333=TODAY(),"امروز",IF(G333&lt;=TODAY()+7,"تا ۷ روز",IF(G333&lt;=TODAY()+15,"تا ۱۵ روز","آینده")))))))</f>
        <v/>
      </c>
      <c r="N333" s="9" t="inlineStr"/>
      <c r="O333" s="9" t="n">
        <v>0</v>
      </c>
      <c r="P333" s="10" t="n"/>
      <c r="Q333" s="9" t="inlineStr"/>
      <c r="R333" s="9" t="inlineStr">
        <is>
          <t>پیش‌فرض 1405</t>
        </is>
      </c>
      <c r="S333" s="9" t="inlineStr">
        <is>
          <t>T104</t>
        </is>
      </c>
      <c r="T333" s="9" t="inlineStr">
        <is>
          <t>بله</t>
        </is>
      </c>
    </row>
    <row r="334">
      <c r="A334" s="9" t="inlineStr">
        <is>
          <t>1405-0333</t>
        </is>
      </c>
      <c r="B334" s="9" t="inlineStr">
        <is>
          <t>کیوان الکترونیک ایرانیان</t>
        </is>
      </c>
      <c r="C334" s="9" t="inlineStr">
        <is>
          <t>حقوق و دستمزد</t>
        </is>
      </c>
      <c r="D334" s="9" t="inlineStr">
        <is>
          <t>محاسبه حقوق و دستمزد ماه شهریور</t>
        </is>
      </c>
      <c r="E334" s="9" t="inlineStr">
        <is>
          <t>ماهانه</t>
        </is>
      </c>
      <c r="F334" s="9" t="inlineStr">
        <is>
          <t>شهریور</t>
        </is>
      </c>
      <c r="G334" s="10" t="n">
        <v>46284</v>
      </c>
      <c r="H334" s="9" t="inlineStr">
        <is>
          <t>1405/06/28</t>
        </is>
      </c>
      <c r="I334" s="9" t="n">
        <v>5</v>
      </c>
      <c r="J334" s="10">
        <f>IF(G334="","",G334-I334)</f>
        <v/>
      </c>
      <c r="K334" s="9" t="inlineStr">
        <is>
          <t>بالا</t>
        </is>
      </c>
      <c r="L334" s="9" t="inlineStr">
        <is>
          <t>باز</t>
        </is>
      </c>
      <c r="M334" s="9">
        <f>IF(D334="","",IF(L334="انجام شده","انجام شده",IF(L334="لغو شده","لغو شده",IF(G334&lt;TODAY(),"عقب‌افتاده",IF(G334=TODAY(),"امروز",IF(G334&lt;=TODAY()+7,"تا ۷ روز",IF(G334&lt;=TODAY()+15,"تا ۱۵ روز","آینده")))))))</f>
        <v/>
      </c>
      <c r="N334" s="9" t="inlineStr"/>
      <c r="O334" s="9" t="n">
        <v>0</v>
      </c>
      <c r="P334" s="10" t="n"/>
      <c r="Q334" s="9" t="inlineStr"/>
      <c r="R334" s="9" t="inlineStr">
        <is>
          <t>پیش‌فرض 1405</t>
        </is>
      </c>
      <c r="S334" s="9" t="inlineStr">
        <is>
          <t>T105</t>
        </is>
      </c>
      <c r="T334" s="9" t="inlineStr">
        <is>
          <t>بله</t>
        </is>
      </c>
    </row>
    <row r="335">
      <c r="A335" s="9" t="inlineStr">
        <is>
          <t>1405-0334</t>
        </is>
      </c>
      <c r="B335" s="9" t="inlineStr">
        <is>
          <t>کیوان الکترونیک ایرانیان</t>
        </is>
      </c>
      <c r="C335" s="9" t="inlineStr">
        <is>
          <t>حقوق و دستمزد</t>
        </is>
      </c>
      <c r="D335" s="9" t="inlineStr">
        <is>
          <t>ارسال/پرداخت لیست بیمه ماه شهریور</t>
        </is>
      </c>
      <c r="E335" s="9" t="inlineStr">
        <is>
          <t>ماهانه</t>
        </is>
      </c>
      <c r="F335" s="9" t="inlineStr">
        <is>
          <t>شهریور</t>
        </is>
      </c>
      <c r="G335" s="10" t="n">
        <v>46317</v>
      </c>
      <c r="H335" s="9" t="inlineStr">
        <is>
          <t>1405/07/30</t>
        </is>
      </c>
      <c r="I335" s="9" t="n">
        <v>7</v>
      </c>
      <c r="J335" s="10">
        <f>IF(G335="","",G335-I335)</f>
        <v/>
      </c>
      <c r="K335" s="9" t="inlineStr">
        <is>
          <t>خیلی بالا</t>
        </is>
      </c>
      <c r="L335" s="9" t="inlineStr">
        <is>
          <t>باز</t>
        </is>
      </c>
      <c r="M335" s="9">
        <f>IF(D335="","",IF(L335="انجام شده","انجام شده",IF(L335="لغو شده","لغو شده",IF(G335&lt;TODAY(),"عقب‌افتاده",IF(G335=TODAY(),"امروز",IF(G335&lt;=TODAY()+7,"تا ۷ روز",IF(G335&lt;=TODAY()+15,"تا ۱۵ روز","آینده")))))))</f>
        <v/>
      </c>
      <c r="N335" s="9" t="inlineStr"/>
      <c r="O335" s="9" t="n">
        <v>0</v>
      </c>
      <c r="P335" s="10" t="n"/>
      <c r="Q335" s="9" t="inlineStr"/>
      <c r="R335" s="9" t="inlineStr">
        <is>
          <t>پیش‌فرض 1405</t>
        </is>
      </c>
      <c r="S335" s="9" t="inlineStr">
        <is>
          <t>T106</t>
        </is>
      </c>
      <c r="T335" s="9" t="inlineStr">
        <is>
          <t>بله</t>
        </is>
      </c>
    </row>
    <row r="336">
      <c r="A336" s="9" t="inlineStr">
        <is>
          <t>1405-0335</t>
        </is>
      </c>
      <c r="B336" s="9" t="inlineStr">
        <is>
          <t>کیوان الکترونیک ایرانیان</t>
        </is>
      </c>
      <c r="C336" s="9" t="inlineStr">
        <is>
          <t>حقوق و دستمزد</t>
        </is>
      </c>
      <c r="D336" s="9" t="inlineStr">
        <is>
          <t>ارسال/پرداخت مالیات حقوق ماه شهریور</t>
        </is>
      </c>
      <c r="E336" s="9" t="inlineStr">
        <is>
          <t>ماهانه</t>
        </is>
      </c>
      <c r="F336" s="9" t="inlineStr">
        <is>
          <t>شهریور</t>
        </is>
      </c>
      <c r="G336" s="10" t="n">
        <v>46317</v>
      </c>
      <c r="H336" s="9" t="inlineStr">
        <is>
          <t>1405/07/30</t>
        </is>
      </c>
      <c r="I336" s="9" t="n">
        <v>7</v>
      </c>
      <c r="J336" s="10">
        <f>IF(G336="","",G336-I336)</f>
        <v/>
      </c>
      <c r="K336" s="9" t="inlineStr">
        <is>
          <t>خیلی بالا</t>
        </is>
      </c>
      <c r="L336" s="9" t="inlineStr">
        <is>
          <t>باز</t>
        </is>
      </c>
      <c r="M336" s="9">
        <f>IF(D336="","",IF(L336="انجام شده","انجام شده",IF(L336="لغو شده","لغو شده",IF(G336&lt;TODAY(),"عقب‌افتاده",IF(G336=TODAY(),"امروز",IF(G336&lt;=TODAY()+7,"تا ۷ روز",IF(G336&lt;=TODAY()+15,"تا ۱۵ روز","آینده")))))))</f>
        <v/>
      </c>
      <c r="N336" s="9" t="inlineStr"/>
      <c r="O336" s="9" t="n">
        <v>0</v>
      </c>
      <c r="P336" s="10" t="n"/>
      <c r="Q336" s="9" t="inlineStr"/>
      <c r="R336" s="9" t="inlineStr">
        <is>
          <t>پیش‌فرض 1405</t>
        </is>
      </c>
      <c r="S336" s="9" t="inlineStr">
        <is>
          <t>T107</t>
        </is>
      </c>
      <c r="T336" s="9" t="inlineStr">
        <is>
          <t>بله</t>
        </is>
      </c>
    </row>
    <row r="337">
      <c r="A337" s="9" t="inlineStr">
        <is>
          <t>1405-0336</t>
        </is>
      </c>
      <c r="B337" s="9" t="inlineStr">
        <is>
          <t>کیوان الکترونیک ایرانیان</t>
        </is>
      </c>
      <c r="C337" s="9" t="inlineStr">
        <is>
          <t>بایگانی</t>
        </is>
      </c>
      <c r="D337" s="9" t="inlineStr">
        <is>
          <t>بایگانی مدارک و اسناد ماه شهریور</t>
        </is>
      </c>
      <c r="E337" s="9" t="inlineStr">
        <is>
          <t>ماهانه</t>
        </is>
      </c>
      <c r="F337" s="9" t="inlineStr">
        <is>
          <t>شهریور</t>
        </is>
      </c>
      <c r="G337" s="10" t="n">
        <v>46302</v>
      </c>
      <c r="H337" s="9" t="inlineStr">
        <is>
          <t>1405/07/15</t>
        </is>
      </c>
      <c r="I337" s="9" t="n">
        <v>3</v>
      </c>
      <c r="J337" s="10">
        <f>IF(G337="","",G337-I337)</f>
        <v/>
      </c>
      <c r="K337" s="9" t="inlineStr">
        <is>
          <t>متوسط</t>
        </is>
      </c>
      <c r="L337" s="9" t="inlineStr">
        <is>
          <t>باز</t>
        </is>
      </c>
      <c r="M337" s="9">
        <f>IF(D337="","",IF(L337="انجام شده","انجام شده",IF(L337="لغو شده","لغو شده",IF(G337&lt;TODAY(),"عقب‌افتاده",IF(G337=TODAY(),"امروز",IF(G337&lt;=TODAY()+7,"تا ۷ روز",IF(G337&lt;=TODAY()+15,"تا ۱۵ روز","آینده")))))))</f>
        <v/>
      </c>
      <c r="N337" s="9" t="inlineStr"/>
      <c r="O337" s="9" t="n">
        <v>0</v>
      </c>
      <c r="P337" s="10" t="n"/>
      <c r="Q337" s="9" t="inlineStr"/>
      <c r="R337" s="9" t="inlineStr">
        <is>
          <t>پیش‌فرض 1405</t>
        </is>
      </c>
      <c r="S337" s="9" t="inlineStr">
        <is>
          <t>T108</t>
        </is>
      </c>
      <c r="T337" s="9" t="inlineStr">
        <is>
          <t>بله</t>
        </is>
      </c>
    </row>
    <row r="338">
      <c r="A338" s="9" t="inlineStr">
        <is>
          <t>1405-0337</t>
        </is>
      </c>
      <c r="B338" s="9" t="inlineStr">
        <is>
          <t>کیوان الکترونیک ایرانیان</t>
        </is>
      </c>
      <c r="C338" s="9" t="inlineStr">
        <is>
          <t>پایان ماه</t>
        </is>
      </c>
      <c r="D338" s="9" t="inlineStr">
        <is>
          <t>مغایرت‌گیری بانکی ماه مهر</t>
        </is>
      </c>
      <c r="E338" s="9" t="inlineStr">
        <is>
          <t>ماهانه</t>
        </is>
      </c>
      <c r="F338" s="9" t="inlineStr">
        <is>
          <t>مهر</t>
        </is>
      </c>
      <c r="G338" s="10" t="n">
        <v>46322</v>
      </c>
      <c r="H338" s="9" t="inlineStr">
        <is>
          <t>1405/08/05</t>
        </is>
      </c>
      <c r="I338" s="9" t="n">
        <v>5</v>
      </c>
      <c r="J338" s="10">
        <f>IF(G338="","",G338-I338)</f>
        <v/>
      </c>
      <c r="K338" s="9" t="inlineStr">
        <is>
          <t>بالا</t>
        </is>
      </c>
      <c r="L338" s="9" t="inlineStr">
        <is>
          <t>باز</t>
        </is>
      </c>
      <c r="M338" s="9">
        <f>IF(D338="","",IF(L338="انجام شده","انجام شده",IF(L338="لغو شده","لغو شده",IF(G338&lt;TODAY(),"عقب‌افتاده",IF(G338=TODAY(),"امروز",IF(G338&lt;=TODAY()+7,"تا ۷ روز",IF(G338&lt;=TODAY()+15,"تا ۱۵ روز","آینده")))))))</f>
        <v/>
      </c>
      <c r="N338" s="9" t="inlineStr"/>
      <c r="O338" s="9" t="n">
        <v>0</v>
      </c>
      <c r="P338" s="10" t="n"/>
      <c r="Q338" s="9" t="inlineStr"/>
      <c r="R338" s="9" t="inlineStr">
        <is>
          <t>پیش‌فرض 1405</t>
        </is>
      </c>
      <c r="S338" s="9" t="inlineStr">
        <is>
          <t>T101</t>
        </is>
      </c>
      <c r="T338" s="9" t="inlineStr">
        <is>
          <t>بله</t>
        </is>
      </c>
    </row>
    <row r="339">
      <c r="A339" s="9" t="inlineStr">
        <is>
          <t>1405-0338</t>
        </is>
      </c>
      <c r="B339" s="9" t="inlineStr">
        <is>
          <t>کیوان الکترونیک ایرانیان</t>
        </is>
      </c>
      <c r="C339" s="9" t="inlineStr">
        <is>
          <t>پایان ماه</t>
        </is>
      </c>
      <c r="D339" s="9" t="inlineStr">
        <is>
          <t>کنترل نهایی اسناد ماه مهر</t>
        </is>
      </c>
      <c r="E339" s="9" t="inlineStr">
        <is>
          <t>ماهانه</t>
        </is>
      </c>
      <c r="F339" s="9" t="inlineStr">
        <is>
          <t>مهر</t>
        </is>
      </c>
      <c r="G339" s="10" t="n">
        <v>46324</v>
      </c>
      <c r="H339" s="9" t="inlineStr">
        <is>
          <t>1405/08/07</t>
        </is>
      </c>
      <c r="I339" s="9" t="n">
        <v>5</v>
      </c>
      <c r="J339" s="10">
        <f>IF(G339="","",G339-I339)</f>
        <v/>
      </c>
      <c r="K339" s="9" t="inlineStr">
        <is>
          <t>بالا</t>
        </is>
      </c>
      <c r="L339" s="9" t="inlineStr">
        <is>
          <t>باز</t>
        </is>
      </c>
      <c r="M339" s="9">
        <f>IF(D339="","",IF(L339="انجام شده","انجام شده",IF(L339="لغو شده","لغو شده",IF(G339&lt;TODAY(),"عقب‌افتاده",IF(G339=TODAY(),"امروز",IF(G339&lt;=TODAY()+7,"تا ۷ روز",IF(G339&lt;=TODAY()+15,"تا ۱۵ روز","آینده")))))))</f>
        <v/>
      </c>
      <c r="N339" s="9" t="inlineStr"/>
      <c r="O339" s="9" t="n">
        <v>0</v>
      </c>
      <c r="P339" s="10" t="n"/>
      <c r="Q339" s="9" t="inlineStr"/>
      <c r="R339" s="9" t="inlineStr">
        <is>
          <t>پیش‌فرض 1405</t>
        </is>
      </c>
      <c r="S339" s="9" t="inlineStr">
        <is>
          <t>T102</t>
        </is>
      </c>
      <c r="T339" s="9" t="inlineStr">
        <is>
          <t>بله</t>
        </is>
      </c>
    </row>
    <row r="340">
      <c r="A340" s="9" t="inlineStr">
        <is>
          <t>1405-0339</t>
        </is>
      </c>
      <c r="B340" s="9" t="inlineStr">
        <is>
          <t>کیوان الکترونیک ایرانیان</t>
        </is>
      </c>
      <c r="C340" s="9" t="inlineStr">
        <is>
          <t>پایان ماه</t>
        </is>
      </c>
      <c r="D340" s="9" t="inlineStr">
        <is>
          <t>بستن حساب‌های ماه مهر و کنترل مانده‌ها</t>
        </is>
      </c>
      <c r="E340" s="9" t="inlineStr">
        <is>
          <t>ماهانه</t>
        </is>
      </c>
      <c r="F340" s="9" t="inlineStr">
        <is>
          <t>مهر</t>
        </is>
      </c>
      <c r="G340" s="10" t="n">
        <v>46327</v>
      </c>
      <c r="H340" s="9" t="inlineStr">
        <is>
          <t>1405/08/10</t>
        </is>
      </c>
      <c r="I340" s="9" t="n">
        <v>7</v>
      </c>
      <c r="J340" s="10">
        <f>IF(G340="","",G340-I340)</f>
        <v/>
      </c>
      <c r="K340" s="9" t="inlineStr">
        <is>
          <t>بالا</t>
        </is>
      </c>
      <c r="L340" s="9" t="inlineStr">
        <is>
          <t>باز</t>
        </is>
      </c>
      <c r="M340" s="9">
        <f>IF(D340="","",IF(L340="انجام شده","انجام شده",IF(L340="لغو شده","لغو شده",IF(G340&lt;TODAY(),"عقب‌افتاده",IF(G340=TODAY(),"امروز",IF(G340&lt;=TODAY()+7,"تا ۷ روز",IF(G340&lt;=TODAY()+15,"تا ۱۵ روز","آینده")))))))</f>
        <v/>
      </c>
      <c r="N340" s="9" t="inlineStr"/>
      <c r="O340" s="9" t="n">
        <v>0</v>
      </c>
      <c r="P340" s="10" t="n"/>
      <c r="Q340" s="9" t="inlineStr"/>
      <c r="R340" s="9" t="inlineStr">
        <is>
          <t>پیش‌فرض 1405</t>
        </is>
      </c>
      <c r="S340" s="9" t="inlineStr">
        <is>
          <t>T103</t>
        </is>
      </c>
      <c r="T340" s="9" t="inlineStr">
        <is>
          <t>بله</t>
        </is>
      </c>
    </row>
    <row r="341">
      <c r="A341" s="9" t="inlineStr">
        <is>
          <t>1405-0340</t>
        </is>
      </c>
      <c r="B341" s="9" t="inlineStr">
        <is>
          <t>کیوان الکترونیک ایرانیان</t>
        </is>
      </c>
      <c r="C341" s="9" t="inlineStr">
        <is>
          <t>گزارش</t>
        </is>
      </c>
      <c r="D341" s="9" t="inlineStr">
        <is>
          <t>تهیه گزارش مدیریت ماه مهر</t>
        </is>
      </c>
      <c r="E341" s="9" t="inlineStr">
        <is>
          <t>ماهانه</t>
        </is>
      </c>
      <c r="F341" s="9" t="inlineStr">
        <is>
          <t>مهر</t>
        </is>
      </c>
      <c r="G341" s="10" t="n">
        <v>46327</v>
      </c>
      <c r="H341" s="9" t="inlineStr">
        <is>
          <t>1405/08/10</t>
        </is>
      </c>
      <c r="I341" s="9" t="n">
        <v>5</v>
      </c>
      <c r="J341" s="10">
        <f>IF(G341="","",G341-I341)</f>
        <v/>
      </c>
      <c r="K341" s="9" t="inlineStr">
        <is>
          <t>متوسط</t>
        </is>
      </c>
      <c r="L341" s="9" t="inlineStr">
        <is>
          <t>باز</t>
        </is>
      </c>
      <c r="M341" s="9">
        <f>IF(D341="","",IF(L341="انجام شده","انجام شده",IF(L341="لغو شده","لغو شده",IF(G341&lt;TODAY(),"عقب‌افتاده",IF(G341=TODAY(),"امروز",IF(G341&lt;=TODAY()+7,"تا ۷ روز",IF(G341&lt;=TODAY()+15,"تا ۱۵ روز","آینده")))))))</f>
        <v/>
      </c>
      <c r="N341" s="9" t="inlineStr"/>
      <c r="O341" s="9" t="n">
        <v>0</v>
      </c>
      <c r="P341" s="10" t="n"/>
      <c r="Q341" s="9" t="inlineStr"/>
      <c r="R341" s="9" t="inlineStr">
        <is>
          <t>پیش‌فرض 1405</t>
        </is>
      </c>
      <c r="S341" s="9" t="inlineStr">
        <is>
          <t>T104</t>
        </is>
      </c>
      <c r="T341" s="9" t="inlineStr">
        <is>
          <t>بله</t>
        </is>
      </c>
    </row>
    <row r="342">
      <c r="A342" s="9" t="inlineStr">
        <is>
          <t>1405-0341</t>
        </is>
      </c>
      <c r="B342" s="9" t="inlineStr">
        <is>
          <t>کیوان الکترونیک ایرانیان</t>
        </is>
      </c>
      <c r="C342" s="9" t="inlineStr">
        <is>
          <t>حقوق و دستمزد</t>
        </is>
      </c>
      <c r="D342" s="9" t="inlineStr">
        <is>
          <t>محاسبه حقوق و دستمزد ماه مهر</t>
        </is>
      </c>
      <c r="E342" s="9" t="inlineStr">
        <is>
          <t>ماهانه</t>
        </is>
      </c>
      <c r="F342" s="9" t="inlineStr">
        <is>
          <t>مهر</t>
        </is>
      </c>
      <c r="G342" s="10" t="n">
        <v>46315</v>
      </c>
      <c r="H342" s="9" t="inlineStr">
        <is>
          <t>1405/07/28</t>
        </is>
      </c>
      <c r="I342" s="9" t="n">
        <v>5</v>
      </c>
      <c r="J342" s="10">
        <f>IF(G342="","",G342-I342)</f>
        <v/>
      </c>
      <c r="K342" s="9" t="inlineStr">
        <is>
          <t>بالا</t>
        </is>
      </c>
      <c r="L342" s="9" t="inlineStr">
        <is>
          <t>باز</t>
        </is>
      </c>
      <c r="M342" s="9">
        <f>IF(D342="","",IF(L342="انجام شده","انجام شده",IF(L342="لغو شده","لغو شده",IF(G342&lt;TODAY(),"عقب‌افتاده",IF(G342=TODAY(),"امروز",IF(G342&lt;=TODAY()+7,"تا ۷ روز",IF(G342&lt;=TODAY()+15,"تا ۱۵ روز","آینده")))))))</f>
        <v/>
      </c>
      <c r="N342" s="9" t="inlineStr"/>
      <c r="O342" s="9" t="n">
        <v>0</v>
      </c>
      <c r="P342" s="10" t="n"/>
      <c r="Q342" s="9" t="inlineStr"/>
      <c r="R342" s="9" t="inlineStr">
        <is>
          <t>پیش‌فرض 1405</t>
        </is>
      </c>
      <c r="S342" s="9" t="inlineStr">
        <is>
          <t>T105</t>
        </is>
      </c>
      <c r="T342" s="9" t="inlineStr">
        <is>
          <t>بله</t>
        </is>
      </c>
    </row>
    <row r="343">
      <c r="A343" s="9" t="inlineStr">
        <is>
          <t>1405-0342</t>
        </is>
      </c>
      <c r="B343" s="9" t="inlineStr">
        <is>
          <t>کیوان الکترونیک ایرانیان</t>
        </is>
      </c>
      <c r="C343" s="9" t="inlineStr">
        <is>
          <t>حقوق و دستمزد</t>
        </is>
      </c>
      <c r="D343" s="9" t="inlineStr">
        <is>
          <t>ارسال/پرداخت لیست بیمه ماه مهر</t>
        </is>
      </c>
      <c r="E343" s="9" t="inlineStr">
        <is>
          <t>ماهانه</t>
        </is>
      </c>
      <c r="F343" s="9" t="inlineStr">
        <is>
          <t>مهر</t>
        </is>
      </c>
      <c r="G343" s="10" t="n">
        <v>46347</v>
      </c>
      <c r="H343" s="9" t="inlineStr">
        <is>
          <t>1405/08/30</t>
        </is>
      </c>
      <c r="I343" s="9" t="n">
        <v>7</v>
      </c>
      <c r="J343" s="10">
        <f>IF(G343="","",G343-I343)</f>
        <v/>
      </c>
      <c r="K343" s="9" t="inlineStr">
        <is>
          <t>خیلی بالا</t>
        </is>
      </c>
      <c r="L343" s="9" t="inlineStr">
        <is>
          <t>باز</t>
        </is>
      </c>
      <c r="M343" s="9">
        <f>IF(D343="","",IF(L343="انجام شده","انجام شده",IF(L343="لغو شده","لغو شده",IF(G343&lt;TODAY(),"عقب‌افتاده",IF(G343=TODAY(),"امروز",IF(G343&lt;=TODAY()+7,"تا ۷ روز",IF(G343&lt;=TODAY()+15,"تا ۱۵ روز","آینده")))))))</f>
        <v/>
      </c>
      <c r="N343" s="9" t="inlineStr"/>
      <c r="O343" s="9" t="n">
        <v>0</v>
      </c>
      <c r="P343" s="10" t="n"/>
      <c r="Q343" s="9" t="inlineStr"/>
      <c r="R343" s="9" t="inlineStr">
        <is>
          <t>پیش‌فرض 1405</t>
        </is>
      </c>
      <c r="S343" s="9" t="inlineStr">
        <is>
          <t>T106</t>
        </is>
      </c>
      <c r="T343" s="9" t="inlineStr">
        <is>
          <t>بله</t>
        </is>
      </c>
    </row>
    <row r="344">
      <c r="A344" s="9" t="inlineStr">
        <is>
          <t>1405-0343</t>
        </is>
      </c>
      <c r="B344" s="9" t="inlineStr">
        <is>
          <t>کیوان الکترونیک ایرانیان</t>
        </is>
      </c>
      <c r="C344" s="9" t="inlineStr">
        <is>
          <t>حقوق و دستمزد</t>
        </is>
      </c>
      <c r="D344" s="9" t="inlineStr">
        <is>
          <t>ارسال/پرداخت مالیات حقوق ماه مهر</t>
        </is>
      </c>
      <c r="E344" s="9" t="inlineStr">
        <is>
          <t>ماهانه</t>
        </is>
      </c>
      <c r="F344" s="9" t="inlineStr">
        <is>
          <t>مهر</t>
        </is>
      </c>
      <c r="G344" s="10" t="n">
        <v>46347</v>
      </c>
      <c r="H344" s="9" t="inlineStr">
        <is>
          <t>1405/08/30</t>
        </is>
      </c>
      <c r="I344" s="9" t="n">
        <v>7</v>
      </c>
      <c r="J344" s="10">
        <f>IF(G344="","",G344-I344)</f>
        <v/>
      </c>
      <c r="K344" s="9" t="inlineStr">
        <is>
          <t>خیلی بالا</t>
        </is>
      </c>
      <c r="L344" s="9" t="inlineStr">
        <is>
          <t>باز</t>
        </is>
      </c>
      <c r="M344" s="9">
        <f>IF(D344="","",IF(L344="انجام شده","انجام شده",IF(L344="لغو شده","لغو شده",IF(G344&lt;TODAY(),"عقب‌افتاده",IF(G344=TODAY(),"امروز",IF(G344&lt;=TODAY()+7,"تا ۷ روز",IF(G344&lt;=TODAY()+15,"تا ۱۵ روز","آینده")))))))</f>
        <v/>
      </c>
      <c r="N344" s="9" t="inlineStr"/>
      <c r="O344" s="9" t="n">
        <v>0</v>
      </c>
      <c r="P344" s="10" t="n"/>
      <c r="Q344" s="9" t="inlineStr"/>
      <c r="R344" s="9" t="inlineStr">
        <is>
          <t>پیش‌فرض 1405</t>
        </is>
      </c>
      <c r="S344" s="9" t="inlineStr">
        <is>
          <t>T107</t>
        </is>
      </c>
      <c r="T344" s="9" t="inlineStr">
        <is>
          <t>بله</t>
        </is>
      </c>
    </row>
    <row r="345">
      <c r="A345" s="9" t="inlineStr">
        <is>
          <t>1405-0344</t>
        </is>
      </c>
      <c r="B345" s="9" t="inlineStr">
        <is>
          <t>کیوان الکترونیک ایرانیان</t>
        </is>
      </c>
      <c r="C345" s="9" t="inlineStr">
        <is>
          <t>بایگانی</t>
        </is>
      </c>
      <c r="D345" s="9" t="inlineStr">
        <is>
          <t>بایگانی مدارک و اسناد ماه مهر</t>
        </is>
      </c>
      <c r="E345" s="9" t="inlineStr">
        <is>
          <t>ماهانه</t>
        </is>
      </c>
      <c r="F345" s="9" t="inlineStr">
        <is>
          <t>مهر</t>
        </is>
      </c>
      <c r="G345" s="10" t="n">
        <v>46332</v>
      </c>
      <c r="H345" s="9" t="inlineStr">
        <is>
          <t>1405/08/15</t>
        </is>
      </c>
      <c r="I345" s="9" t="n">
        <v>3</v>
      </c>
      <c r="J345" s="10">
        <f>IF(G345="","",G345-I345)</f>
        <v/>
      </c>
      <c r="K345" s="9" t="inlineStr">
        <is>
          <t>متوسط</t>
        </is>
      </c>
      <c r="L345" s="9" t="inlineStr">
        <is>
          <t>باز</t>
        </is>
      </c>
      <c r="M345" s="9">
        <f>IF(D345="","",IF(L345="انجام شده","انجام شده",IF(L345="لغو شده","لغو شده",IF(G345&lt;TODAY(),"عقب‌افتاده",IF(G345=TODAY(),"امروز",IF(G345&lt;=TODAY()+7,"تا ۷ روز",IF(G345&lt;=TODAY()+15,"تا ۱۵ روز","آینده")))))))</f>
        <v/>
      </c>
      <c r="N345" s="9" t="inlineStr"/>
      <c r="O345" s="9" t="n">
        <v>0</v>
      </c>
      <c r="P345" s="10" t="n"/>
      <c r="Q345" s="9" t="inlineStr"/>
      <c r="R345" s="9" t="inlineStr">
        <is>
          <t>پیش‌فرض 1405</t>
        </is>
      </c>
      <c r="S345" s="9" t="inlineStr">
        <is>
          <t>T108</t>
        </is>
      </c>
      <c r="T345" s="9" t="inlineStr">
        <is>
          <t>بله</t>
        </is>
      </c>
    </row>
    <row r="346">
      <c r="A346" s="9" t="inlineStr">
        <is>
          <t>1405-0345</t>
        </is>
      </c>
      <c r="B346" s="9" t="inlineStr">
        <is>
          <t>کیوان الکترونیک ایرانیان</t>
        </is>
      </c>
      <c r="C346" s="9" t="inlineStr">
        <is>
          <t>پایان ماه</t>
        </is>
      </c>
      <c r="D346" s="9" t="inlineStr">
        <is>
          <t>مغایرت‌گیری بانکی ماه آبان</t>
        </is>
      </c>
      <c r="E346" s="9" t="inlineStr">
        <is>
          <t>ماهانه</t>
        </is>
      </c>
      <c r="F346" s="9" t="inlineStr">
        <is>
          <t>آبان</t>
        </is>
      </c>
      <c r="G346" s="10" t="n">
        <v>46352</v>
      </c>
      <c r="H346" s="9" t="inlineStr">
        <is>
          <t>1405/09/05</t>
        </is>
      </c>
      <c r="I346" s="9" t="n">
        <v>5</v>
      </c>
      <c r="J346" s="10">
        <f>IF(G346="","",G346-I346)</f>
        <v/>
      </c>
      <c r="K346" s="9" t="inlineStr">
        <is>
          <t>بالا</t>
        </is>
      </c>
      <c r="L346" s="9" t="inlineStr">
        <is>
          <t>باز</t>
        </is>
      </c>
      <c r="M346" s="9">
        <f>IF(D346="","",IF(L346="انجام شده","انجام شده",IF(L346="لغو شده","لغو شده",IF(G346&lt;TODAY(),"عقب‌افتاده",IF(G346=TODAY(),"امروز",IF(G346&lt;=TODAY()+7,"تا ۷ روز",IF(G346&lt;=TODAY()+15,"تا ۱۵ روز","آینده")))))))</f>
        <v/>
      </c>
      <c r="N346" s="9" t="inlineStr"/>
      <c r="O346" s="9" t="n">
        <v>0</v>
      </c>
      <c r="P346" s="10" t="n"/>
      <c r="Q346" s="9" t="inlineStr"/>
      <c r="R346" s="9" t="inlineStr">
        <is>
          <t>پیش‌فرض 1405</t>
        </is>
      </c>
      <c r="S346" s="9" t="inlineStr">
        <is>
          <t>T101</t>
        </is>
      </c>
      <c r="T346" s="9" t="inlineStr">
        <is>
          <t>بله</t>
        </is>
      </c>
    </row>
    <row r="347">
      <c r="A347" s="9" t="inlineStr">
        <is>
          <t>1405-0346</t>
        </is>
      </c>
      <c r="B347" s="9" t="inlineStr">
        <is>
          <t>کیوان الکترونیک ایرانیان</t>
        </is>
      </c>
      <c r="C347" s="9" t="inlineStr">
        <is>
          <t>پایان ماه</t>
        </is>
      </c>
      <c r="D347" s="9" t="inlineStr">
        <is>
          <t>کنترل نهایی اسناد ماه آبان</t>
        </is>
      </c>
      <c r="E347" s="9" t="inlineStr">
        <is>
          <t>ماهانه</t>
        </is>
      </c>
      <c r="F347" s="9" t="inlineStr">
        <is>
          <t>آبان</t>
        </is>
      </c>
      <c r="G347" s="10" t="n">
        <v>46354</v>
      </c>
      <c r="H347" s="9" t="inlineStr">
        <is>
          <t>1405/09/07</t>
        </is>
      </c>
      <c r="I347" s="9" t="n">
        <v>5</v>
      </c>
      <c r="J347" s="10">
        <f>IF(G347="","",G347-I347)</f>
        <v/>
      </c>
      <c r="K347" s="9" t="inlineStr">
        <is>
          <t>بالا</t>
        </is>
      </c>
      <c r="L347" s="9" t="inlineStr">
        <is>
          <t>باز</t>
        </is>
      </c>
      <c r="M347" s="9">
        <f>IF(D347="","",IF(L347="انجام شده","انجام شده",IF(L347="لغو شده","لغو شده",IF(G347&lt;TODAY(),"عقب‌افتاده",IF(G347=TODAY(),"امروز",IF(G347&lt;=TODAY()+7,"تا ۷ روز",IF(G347&lt;=TODAY()+15,"تا ۱۵ روز","آینده")))))))</f>
        <v/>
      </c>
      <c r="N347" s="9" t="inlineStr"/>
      <c r="O347" s="9" t="n">
        <v>0</v>
      </c>
      <c r="P347" s="10" t="n"/>
      <c r="Q347" s="9" t="inlineStr"/>
      <c r="R347" s="9" t="inlineStr">
        <is>
          <t>پیش‌فرض 1405</t>
        </is>
      </c>
      <c r="S347" s="9" t="inlineStr">
        <is>
          <t>T102</t>
        </is>
      </c>
      <c r="T347" s="9" t="inlineStr">
        <is>
          <t>بله</t>
        </is>
      </c>
    </row>
    <row r="348">
      <c r="A348" s="9" t="inlineStr">
        <is>
          <t>1405-0347</t>
        </is>
      </c>
      <c r="B348" s="9" t="inlineStr">
        <is>
          <t>کیوان الکترونیک ایرانیان</t>
        </is>
      </c>
      <c r="C348" s="9" t="inlineStr">
        <is>
          <t>پایان ماه</t>
        </is>
      </c>
      <c r="D348" s="9" t="inlineStr">
        <is>
          <t>بستن حساب‌های ماه آبان و کنترل مانده‌ها</t>
        </is>
      </c>
      <c r="E348" s="9" t="inlineStr">
        <is>
          <t>ماهانه</t>
        </is>
      </c>
      <c r="F348" s="9" t="inlineStr">
        <is>
          <t>آبان</t>
        </is>
      </c>
      <c r="G348" s="10" t="n">
        <v>46357</v>
      </c>
      <c r="H348" s="9" t="inlineStr">
        <is>
          <t>1405/09/10</t>
        </is>
      </c>
      <c r="I348" s="9" t="n">
        <v>7</v>
      </c>
      <c r="J348" s="10">
        <f>IF(G348="","",G348-I348)</f>
        <v/>
      </c>
      <c r="K348" s="9" t="inlineStr">
        <is>
          <t>بالا</t>
        </is>
      </c>
      <c r="L348" s="9" t="inlineStr">
        <is>
          <t>باز</t>
        </is>
      </c>
      <c r="M348" s="9">
        <f>IF(D348="","",IF(L348="انجام شده","انجام شده",IF(L348="لغو شده","لغو شده",IF(G348&lt;TODAY(),"عقب‌افتاده",IF(G348=TODAY(),"امروز",IF(G348&lt;=TODAY()+7,"تا ۷ روز",IF(G348&lt;=TODAY()+15,"تا ۱۵ روز","آینده")))))))</f>
        <v/>
      </c>
      <c r="N348" s="9" t="inlineStr"/>
      <c r="O348" s="9" t="n">
        <v>0</v>
      </c>
      <c r="P348" s="10" t="n"/>
      <c r="Q348" s="9" t="inlineStr"/>
      <c r="R348" s="9" t="inlineStr">
        <is>
          <t>پیش‌فرض 1405</t>
        </is>
      </c>
      <c r="S348" s="9" t="inlineStr">
        <is>
          <t>T103</t>
        </is>
      </c>
      <c r="T348" s="9" t="inlineStr">
        <is>
          <t>بله</t>
        </is>
      </c>
    </row>
    <row r="349">
      <c r="A349" s="9" t="inlineStr">
        <is>
          <t>1405-0348</t>
        </is>
      </c>
      <c r="B349" s="9" t="inlineStr">
        <is>
          <t>کیوان الکترونیک ایرانیان</t>
        </is>
      </c>
      <c r="C349" s="9" t="inlineStr">
        <is>
          <t>گزارش</t>
        </is>
      </c>
      <c r="D349" s="9" t="inlineStr">
        <is>
          <t>تهیه گزارش مدیریت ماه آبان</t>
        </is>
      </c>
      <c r="E349" s="9" t="inlineStr">
        <is>
          <t>ماهانه</t>
        </is>
      </c>
      <c r="F349" s="9" t="inlineStr">
        <is>
          <t>آبان</t>
        </is>
      </c>
      <c r="G349" s="10" t="n">
        <v>46357</v>
      </c>
      <c r="H349" s="9" t="inlineStr">
        <is>
          <t>1405/09/10</t>
        </is>
      </c>
      <c r="I349" s="9" t="n">
        <v>5</v>
      </c>
      <c r="J349" s="10">
        <f>IF(G349="","",G349-I349)</f>
        <v/>
      </c>
      <c r="K349" s="9" t="inlineStr">
        <is>
          <t>متوسط</t>
        </is>
      </c>
      <c r="L349" s="9" t="inlineStr">
        <is>
          <t>باز</t>
        </is>
      </c>
      <c r="M349" s="9">
        <f>IF(D349="","",IF(L349="انجام شده","انجام شده",IF(L349="لغو شده","لغو شده",IF(G349&lt;TODAY(),"عقب‌افتاده",IF(G349=TODAY(),"امروز",IF(G349&lt;=TODAY()+7,"تا ۷ روز",IF(G349&lt;=TODAY()+15,"تا ۱۵ روز","آینده")))))))</f>
        <v/>
      </c>
      <c r="N349" s="9" t="inlineStr"/>
      <c r="O349" s="9" t="n">
        <v>0</v>
      </c>
      <c r="P349" s="10" t="n"/>
      <c r="Q349" s="9" t="inlineStr"/>
      <c r="R349" s="9" t="inlineStr">
        <is>
          <t>پیش‌فرض 1405</t>
        </is>
      </c>
      <c r="S349" s="9" t="inlineStr">
        <is>
          <t>T104</t>
        </is>
      </c>
      <c r="T349" s="9" t="inlineStr">
        <is>
          <t>بله</t>
        </is>
      </c>
    </row>
    <row r="350">
      <c r="A350" s="9" t="inlineStr">
        <is>
          <t>1405-0349</t>
        </is>
      </c>
      <c r="B350" s="9" t="inlineStr">
        <is>
          <t>کیوان الکترونیک ایرانیان</t>
        </is>
      </c>
      <c r="C350" s="9" t="inlineStr">
        <is>
          <t>حقوق و دستمزد</t>
        </is>
      </c>
      <c r="D350" s="9" t="inlineStr">
        <is>
          <t>محاسبه حقوق و دستمزد ماه آبان</t>
        </is>
      </c>
      <c r="E350" s="9" t="inlineStr">
        <is>
          <t>ماهانه</t>
        </is>
      </c>
      <c r="F350" s="9" t="inlineStr">
        <is>
          <t>آبان</t>
        </is>
      </c>
      <c r="G350" s="10" t="n">
        <v>46345</v>
      </c>
      <c r="H350" s="9" t="inlineStr">
        <is>
          <t>1405/08/28</t>
        </is>
      </c>
      <c r="I350" s="9" t="n">
        <v>5</v>
      </c>
      <c r="J350" s="10">
        <f>IF(G350="","",G350-I350)</f>
        <v/>
      </c>
      <c r="K350" s="9" t="inlineStr">
        <is>
          <t>بالا</t>
        </is>
      </c>
      <c r="L350" s="9" t="inlineStr">
        <is>
          <t>باز</t>
        </is>
      </c>
      <c r="M350" s="9">
        <f>IF(D350="","",IF(L350="انجام شده","انجام شده",IF(L350="لغو شده","لغو شده",IF(G350&lt;TODAY(),"عقب‌افتاده",IF(G350=TODAY(),"امروز",IF(G350&lt;=TODAY()+7,"تا ۷ روز",IF(G350&lt;=TODAY()+15,"تا ۱۵ روز","آینده")))))))</f>
        <v/>
      </c>
      <c r="N350" s="9" t="inlineStr"/>
      <c r="O350" s="9" t="n">
        <v>0</v>
      </c>
      <c r="P350" s="10" t="n"/>
      <c r="Q350" s="9" t="inlineStr"/>
      <c r="R350" s="9" t="inlineStr">
        <is>
          <t>پیش‌فرض 1405</t>
        </is>
      </c>
      <c r="S350" s="9" t="inlineStr">
        <is>
          <t>T105</t>
        </is>
      </c>
      <c r="T350" s="9" t="inlineStr">
        <is>
          <t>بله</t>
        </is>
      </c>
    </row>
    <row r="351">
      <c r="A351" s="9" t="inlineStr">
        <is>
          <t>1405-0350</t>
        </is>
      </c>
      <c r="B351" s="9" t="inlineStr">
        <is>
          <t>کیوان الکترونیک ایرانیان</t>
        </is>
      </c>
      <c r="C351" s="9" t="inlineStr">
        <is>
          <t>حقوق و دستمزد</t>
        </is>
      </c>
      <c r="D351" s="9" t="inlineStr">
        <is>
          <t>ارسال/پرداخت لیست بیمه ماه آبان</t>
        </is>
      </c>
      <c r="E351" s="9" t="inlineStr">
        <is>
          <t>ماهانه</t>
        </is>
      </c>
      <c r="F351" s="9" t="inlineStr">
        <is>
          <t>آبان</t>
        </is>
      </c>
      <c r="G351" s="10" t="n">
        <v>46377</v>
      </c>
      <c r="H351" s="9" t="inlineStr">
        <is>
          <t>1405/09/30</t>
        </is>
      </c>
      <c r="I351" s="9" t="n">
        <v>7</v>
      </c>
      <c r="J351" s="10">
        <f>IF(G351="","",G351-I351)</f>
        <v/>
      </c>
      <c r="K351" s="9" t="inlineStr">
        <is>
          <t>خیلی بالا</t>
        </is>
      </c>
      <c r="L351" s="9" t="inlineStr">
        <is>
          <t>باز</t>
        </is>
      </c>
      <c r="M351" s="9">
        <f>IF(D351="","",IF(L351="انجام شده","انجام شده",IF(L351="لغو شده","لغو شده",IF(G351&lt;TODAY(),"عقب‌افتاده",IF(G351=TODAY(),"امروز",IF(G351&lt;=TODAY()+7,"تا ۷ روز",IF(G351&lt;=TODAY()+15,"تا ۱۵ روز","آینده")))))))</f>
        <v/>
      </c>
      <c r="N351" s="9" t="inlineStr"/>
      <c r="O351" s="9" t="n">
        <v>0</v>
      </c>
      <c r="P351" s="10" t="n"/>
      <c r="Q351" s="9" t="inlineStr"/>
      <c r="R351" s="9" t="inlineStr">
        <is>
          <t>پیش‌فرض 1405</t>
        </is>
      </c>
      <c r="S351" s="9" t="inlineStr">
        <is>
          <t>T106</t>
        </is>
      </c>
      <c r="T351" s="9" t="inlineStr">
        <is>
          <t>بله</t>
        </is>
      </c>
    </row>
    <row r="352">
      <c r="A352" s="9" t="inlineStr">
        <is>
          <t>1405-0351</t>
        </is>
      </c>
      <c r="B352" s="9" t="inlineStr">
        <is>
          <t>کیوان الکترونیک ایرانیان</t>
        </is>
      </c>
      <c r="C352" s="9" t="inlineStr">
        <is>
          <t>حقوق و دستمزد</t>
        </is>
      </c>
      <c r="D352" s="9" t="inlineStr">
        <is>
          <t>ارسال/پرداخت مالیات حقوق ماه آبان</t>
        </is>
      </c>
      <c r="E352" s="9" t="inlineStr">
        <is>
          <t>ماهانه</t>
        </is>
      </c>
      <c r="F352" s="9" t="inlineStr">
        <is>
          <t>آبان</t>
        </is>
      </c>
      <c r="G352" s="10" t="n">
        <v>46377</v>
      </c>
      <c r="H352" s="9" t="inlineStr">
        <is>
          <t>1405/09/30</t>
        </is>
      </c>
      <c r="I352" s="9" t="n">
        <v>7</v>
      </c>
      <c r="J352" s="10">
        <f>IF(G352="","",G352-I352)</f>
        <v/>
      </c>
      <c r="K352" s="9" t="inlineStr">
        <is>
          <t>خیلی بالا</t>
        </is>
      </c>
      <c r="L352" s="9" t="inlineStr">
        <is>
          <t>باز</t>
        </is>
      </c>
      <c r="M352" s="9">
        <f>IF(D352="","",IF(L352="انجام شده","انجام شده",IF(L352="لغو شده","لغو شده",IF(G352&lt;TODAY(),"عقب‌افتاده",IF(G352=TODAY(),"امروز",IF(G352&lt;=TODAY()+7,"تا ۷ روز",IF(G352&lt;=TODAY()+15,"تا ۱۵ روز","آینده")))))))</f>
        <v/>
      </c>
      <c r="N352" s="9" t="inlineStr"/>
      <c r="O352" s="9" t="n">
        <v>0</v>
      </c>
      <c r="P352" s="10" t="n"/>
      <c r="Q352" s="9" t="inlineStr"/>
      <c r="R352" s="9" t="inlineStr">
        <is>
          <t>پیش‌فرض 1405</t>
        </is>
      </c>
      <c r="S352" s="9" t="inlineStr">
        <is>
          <t>T107</t>
        </is>
      </c>
      <c r="T352" s="9" t="inlineStr">
        <is>
          <t>بله</t>
        </is>
      </c>
    </row>
    <row r="353">
      <c r="A353" s="9" t="inlineStr">
        <is>
          <t>1405-0352</t>
        </is>
      </c>
      <c r="B353" s="9" t="inlineStr">
        <is>
          <t>کیوان الکترونیک ایرانیان</t>
        </is>
      </c>
      <c r="C353" s="9" t="inlineStr">
        <is>
          <t>بایگانی</t>
        </is>
      </c>
      <c r="D353" s="9" t="inlineStr">
        <is>
          <t>بایگانی مدارک و اسناد ماه آبان</t>
        </is>
      </c>
      <c r="E353" s="9" t="inlineStr">
        <is>
          <t>ماهانه</t>
        </is>
      </c>
      <c r="F353" s="9" t="inlineStr">
        <is>
          <t>آبان</t>
        </is>
      </c>
      <c r="G353" s="10" t="n">
        <v>46362</v>
      </c>
      <c r="H353" s="9" t="inlineStr">
        <is>
          <t>1405/09/15</t>
        </is>
      </c>
      <c r="I353" s="9" t="n">
        <v>3</v>
      </c>
      <c r="J353" s="10">
        <f>IF(G353="","",G353-I353)</f>
        <v/>
      </c>
      <c r="K353" s="9" t="inlineStr">
        <is>
          <t>متوسط</t>
        </is>
      </c>
      <c r="L353" s="9" t="inlineStr">
        <is>
          <t>باز</t>
        </is>
      </c>
      <c r="M353" s="9">
        <f>IF(D353="","",IF(L353="انجام شده","انجام شده",IF(L353="لغو شده","لغو شده",IF(G353&lt;TODAY(),"عقب‌افتاده",IF(G353=TODAY(),"امروز",IF(G353&lt;=TODAY()+7,"تا ۷ روز",IF(G353&lt;=TODAY()+15,"تا ۱۵ روز","آینده")))))))</f>
        <v/>
      </c>
      <c r="N353" s="9" t="inlineStr"/>
      <c r="O353" s="9" t="n">
        <v>0</v>
      </c>
      <c r="P353" s="10" t="n"/>
      <c r="Q353" s="9" t="inlineStr"/>
      <c r="R353" s="9" t="inlineStr">
        <is>
          <t>پیش‌فرض 1405</t>
        </is>
      </c>
      <c r="S353" s="9" t="inlineStr">
        <is>
          <t>T108</t>
        </is>
      </c>
      <c r="T353" s="9" t="inlineStr">
        <is>
          <t>بله</t>
        </is>
      </c>
    </row>
    <row r="354">
      <c r="A354" s="9" t="inlineStr">
        <is>
          <t>1405-0353</t>
        </is>
      </c>
      <c r="B354" s="9" t="inlineStr">
        <is>
          <t>کیوان الکترونیک ایرانیان</t>
        </is>
      </c>
      <c r="C354" s="9" t="inlineStr">
        <is>
          <t>پایان ماه</t>
        </is>
      </c>
      <c r="D354" s="9" t="inlineStr">
        <is>
          <t>مغایرت‌گیری بانکی ماه آذر</t>
        </is>
      </c>
      <c r="E354" s="9" t="inlineStr">
        <is>
          <t>ماهانه</t>
        </is>
      </c>
      <c r="F354" s="9" t="inlineStr">
        <is>
          <t>آذر</t>
        </is>
      </c>
      <c r="G354" s="10" t="n">
        <v>46382</v>
      </c>
      <c r="H354" s="9" t="inlineStr">
        <is>
          <t>1405/10/05</t>
        </is>
      </c>
      <c r="I354" s="9" t="n">
        <v>5</v>
      </c>
      <c r="J354" s="10">
        <f>IF(G354="","",G354-I354)</f>
        <v/>
      </c>
      <c r="K354" s="9" t="inlineStr">
        <is>
          <t>بالا</t>
        </is>
      </c>
      <c r="L354" s="9" t="inlineStr">
        <is>
          <t>باز</t>
        </is>
      </c>
      <c r="M354" s="9">
        <f>IF(D354="","",IF(L354="انجام شده","انجام شده",IF(L354="لغو شده","لغو شده",IF(G354&lt;TODAY(),"عقب‌افتاده",IF(G354=TODAY(),"امروز",IF(G354&lt;=TODAY()+7,"تا ۷ روز",IF(G354&lt;=TODAY()+15,"تا ۱۵ روز","آینده")))))))</f>
        <v/>
      </c>
      <c r="N354" s="9" t="inlineStr"/>
      <c r="O354" s="9" t="n">
        <v>0</v>
      </c>
      <c r="P354" s="10" t="n"/>
      <c r="Q354" s="9" t="inlineStr"/>
      <c r="R354" s="9" t="inlineStr">
        <is>
          <t>پیش‌فرض 1405</t>
        </is>
      </c>
      <c r="S354" s="9" t="inlineStr">
        <is>
          <t>T101</t>
        </is>
      </c>
      <c r="T354" s="9" t="inlineStr">
        <is>
          <t>بله</t>
        </is>
      </c>
    </row>
    <row r="355">
      <c r="A355" s="9" t="inlineStr">
        <is>
          <t>1405-0354</t>
        </is>
      </c>
      <c r="B355" s="9" t="inlineStr">
        <is>
          <t>کیوان الکترونیک ایرانیان</t>
        </is>
      </c>
      <c r="C355" s="9" t="inlineStr">
        <is>
          <t>پایان ماه</t>
        </is>
      </c>
      <c r="D355" s="9" t="inlineStr">
        <is>
          <t>کنترل نهایی اسناد ماه آذر</t>
        </is>
      </c>
      <c r="E355" s="9" t="inlineStr">
        <is>
          <t>ماهانه</t>
        </is>
      </c>
      <c r="F355" s="9" t="inlineStr">
        <is>
          <t>آذر</t>
        </is>
      </c>
      <c r="G355" s="10" t="n">
        <v>46384</v>
      </c>
      <c r="H355" s="9" t="inlineStr">
        <is>
          <t>1405/10/07</t>
        </is>
      </c>
      <c r="I355" s="9" t="n">
        <v>5</v>
      </c>
      <c r="J355" s="10">
        <f>IF(G355="","",G355-I355)</f>
        <v/>
      </c>
      <c r="K355" s="9" t="inlineStr">
        <is>
          <t>بالا</t>
        </is>
      </c>
      <c r="L355" s="9" t="inlineStr">
        <is>
          <t>باز</t>
        </is>
      </c>
      <c r="M355" s="9">
        <f>IF(D355="","",IF(L355="انجام شده","انجام شده",IF(L355="لغو شده","لغو شده",IF(G355&lt;TODAY(),"عقب‌افتاده",IF(G355=TODAY(),"امروز",IF(G355&lt;=TODAY()+7,"تا ۷ روز",IF(G355&lt;=TODAY()+15,"تا ۱۵ روز","آینده")))))))</f>
        <v/>
      </c>
      <c r="N355" s="9" t="inlineStr"/>
      <c r="O355" s="9" t="n">
        <v>0</v>
      </c>
      <c r="P355" s="10" t="n"/>
      <c r="Q355" s="9" t="inlineStr"/>
      <c r="R355" s="9" t="inlineStr">
        <is>
          <t>پیش‌فرض 1405</t>
        </is>
      </c>
      <c r="S355" s="9" t="inlineStr">
        <is>
          <t>T102</t>
        </is>
      </c>
      <c r="T355" s="9" t="inlineStr">
        <is>
          <t>بله</t>
        </is>
      </c>
    </row>
    <row r="356">
      <c r="A356" s="9" t="inlineStr">
        <is>
          <t>1405-0355</t>
        </is>
      </c>
      <c r="B356" s="9" t="inlineStr">
        <is>
          <t>کیوان الکترونیک ایرانیان</t>
        </is>
      </c>
      <c r="C356" s="9" t="inlineStr">
        <is>
          <t>پایان ماه</t>
        </is>
      </c>
      <c r="D356" s="9" t="inlineStr">
        <is>
          <t>بستن حساب‌های ماه آذر و کنترل مانده‌ها</t>
        </is>
      </c>
      <c r="E356" s="9" t="inlineStr">
        <is>
          <t>ماهانه</t>
        </is>
      </c>
      <c r="F356" s="9" t="inlineStr">
        <is>
          <t>آذر</t>
        </is>
      </c>
      <c r="G356" s="10" t="n">
        <v>46387</v>
      </c>
      <c r="H356" s="9" t="inlineStr">
        <is>
          <t>1405/10/10</t>
        </is>
      </c>
      <c r="I356" s="9" t="n">
        <v>7</v>
      </c>
      <c r="J356" s="10">
        <f>IF(G356="","",G356-I356)</f>
        <v/>
      </c>
      <c r="K356" s="9" t="inlineStr">
        <is>
          <t>بالا</t>
        </is>
      </c>
      <c r="L356" s="9" t="inlineStr">
        <is>
          <t>باز</t>
        </is>
      </c>
      <c r="M356" s="9">
        <f>IF(D356="","",IF(L356="انجام شده","انجام شده",IF(L356="لغو شده","لغو شده",IF(G356&lt;TODAY(),"عقب‌افتاده",IF(G356=TODAY(),"امروز",IF(G356&lt;=TODAY()+7,"تا ۷ روز",IF(G356&lt;=TODAY()+15,"تا ۱۵ روز","آینده")))))))</f>
        <v/>
      </c>
      <c r="N356" s="9" t="inlineStr"/>
      <c r="O356" s="9" t="n">
        <v>0</v>
      </c>
      <c r="P356" s="10" t="n"/>
      <c r="Q356" s="9" t="inlineStr"/>
      <c r="R356" s="9" t="inlineStr">
        <is>
          <t>پیش‌فرض 1405</t>
        </is>
      </c>
      <c r="S356" s="9" t="inlineStr">
        <is>
          <t>T103</t>
        </is>
      </c>
      <c r="T356" s="9" t="inlineStr">
        <is>
          <t>بله</t>
        </is>
      </c>
    </row>
    <row r="357">
      <c r="A357" s="9" t="inlineStr">
        <is>
          <t>1405-0356</t>
        </is>
      </c>
      <c r="B357" s="9" t="inlineStr">
        <is>
          <t>کیوان الکترونیک ایرانیان</t>
        </is>
      </c>
      <c r="C357" s="9" t="inlineStr">
        <is>
          <t>گزارش</t>
        </is>
      </c>
      <c r="D357" s="9" t="inlineStr">
        <is>
          <t>تهیه گزارش مدیریت ماه آذر</t>
        </is>
      </c>
      <c r="E357" s="9" t="inlineStr">
        <is>
          <t>ماهانه</t>
        </is>
      </c>
      <c r="F357" s="9" t="inlineStr">
        <is>
          <t>آذر</t>
        </is>
      </c>
      <c r="G357" s="10" t="n">
        <v>46387</v>
      </c>
      <c r="H357" s="9" t="inlineStr">
        <is>
          <t>1405/10/10</t>
        </is>
      </c>
      <c r="I357" s="9" t="n">
        <v>5</v>
      </c>
      <c r="J357" s="10">
        <f>IF(G357="","",G357-I357)</f>
        <v/>
      </c>
      <c r="K357" s="9" t="inlineStr">
        <is>
          <t>متوسط</t>
        </is>
      </c>
      <c r="L357" s="9" t="inlineStr">
        <is>
          <t>باز</t>
        </is>
      </c>
      <c r="M357" s="9">
        <f>IF(D357="","",IF(L357="انجام شده","انجام شده",IF(L357="لغو شده","لغو شده",IF(G357&lt;TODAY(),"عقب‌افتاده",IF(G357=TODAY(),"امروز",IF(G357&lt;=TODAY()+7,"تا ۷ روز",IF(G357&lt;=TODAY()+15,"تا ۱۵ روز","آینده")))))))</f>
        <v/>
      </c>
      <c r="N357" s="9" t="inlineStr"/>
      <c r="O357" s="9" t="n">
        <v>0</v>
      </c>
      <c r="P357" s="10" t="n"/>
      <c r="Q357" s="9" t="inlineStr"/>
      <c r="R357" s="9" t="inlineStr">
        <is>
          <t>پیش‌فرض 1405</t>
        </is>
      </c>
      <c r="S357" s="9" t="inlineStr">
        <is>
          <t>T104</t>
        </is>
      </c>
      <c r="T357" s="9" t="inlineStr">
        <is>
          <t>بله</t>
        </is>
      </c>
    </row>
    <row r="358">
      <c r="A358" s="9" t="inlineStr">
        <is>
          <t>1405-0357</t>
        </is>
      </c>
      <c r="B358" s="9" t="inlineStr">
        <is>
          <t>کیوان الکترونیک ایرانیان</t>
        </is>
      </c>
      <c r="C358" s="9" t="inlineStr">
        <is>
          <t>حقوق و دستمزد</t>
        </is>
      </c>
      <c r="D358" s="9" t="inlineStr">
        <is>
          <t>محاسبه حقوق و دستمزد ماه آذر</t>
        </is>
      </c>
      <c r="E358" s="9" t="inlineStr">
        <is>
          <t>ماهانه</t>
        </is>
      </c>
      <c r="F358" s="9" t="inlineStr">
        <is>
          <t>آذر</t>
        </is>
      </c>
      <c r="G358" s="10" t="n">
        <v>46375</v>
      </c>
      <c r="H358" s="9" t="inlineStr">
        <is>
          <t>1405/09/28</t>
        </is>
      </c>
      <c r="I358" s="9" t="n">
        <v>5</v>
      </c>
      <c r="J358" s="10">
        <f>IF(G358="","",G358-I358)</f>
        <v/>
      </c>
      <c r="K358" s="9" t="inlineStr">
        <is>
          <t>بالا</t>
        </is>
      </c>
      <c r="L358" s="9" t="inlineStr">
        <is>
          <t>باز</t>
        </is>
      </c>
      <c r="M358" s="9">
        <f>IF(D358="","",IF(L358="انجام شده","انجام شده",IF(L358="لغو شده","لغو شده",IF(G358&lt;TODAY(),"عقب‌افتاده",IF(G358=TODAY(),"امروز",IF(G358&lt;=TODAY()+7,"تا ۷ روز",IF(G358&lt;=TODAY()+15,"تا ۱۵ روز","آینده")))))))</f>
        <v/>
      </c>
      <c r="N358" s="9" t="inlineStr"/>
      <c r="O358" s="9" t="n">
        <v>0</v>
      </c>
      <c r="P358" s="10" t="n"/>
      <c r="Q358" s="9" t="inlineStr"/>
      <c r="R358" s="9" t="inlineStr">
        <is>
          <t>پیش‌فرض 1405</t>
        </is>
      </c>
      <c r="S358" s="9" t="inlineStr">
        <is>
          <t>T105</t>
        </is>
      </c>
      <c r="T358" s="9" t="inlineStr">
        <is>
          <t>بله</t>
        </is>
      </c>
    </row>
    <row r="359">
      <c r="A359" s="9" t="inlineStr">
        <is>
          <t>1405-0358</t>
        </is>
      </c>
      <c r="B359" s="9" t="inlineStr">
        <is>
          <t>کیوان الکترونیک ایرانیان</t>
        </is>
      </c>
      <c r="C359" s="9" t="inlineStr">
        <is>
          <t>حقوق و دستمزد</t>
        </is>
      </c>
      <c r="D359" s="9" t="inlineStr">
        <is>
          <t>ارسال/پرداخت لیست بیمه ماه آذر</t>
        </is>
      </c>
      <c r="E359" s="9" t="inlineStr">
        <is>
          <t>ماهانه</t>
        </is>
      </c>
      <c r="F359" s="9" t="inlineStr">
        <is>
          <t>آذر</t>
        </is>
      </c>
      <c r="G359" s="10" t="n">
        <v>46407</v>
      </c>
      <c r="H359" s="9" t="inlineStr">
        <is>
          <t>1405/10/30</t>
        </is>
      </c>
      <c r="I359" s="9" t="n">
        <v>7</v>
      </c>
      <c r="J359" s="10">
        <f>IF(G359="","",G359-I359)</f>
        <v/>
      </c>
      <c r="K359" s="9" t="inlineStr">
        <is>
          <t>خیلی بالا</t>
        </is>
      </c>
      <c r="L359" s="9" t="inlineStr">
        <is>
          <t>باز</t>
        </is>
      </c>
      <c r="M359" s="9">
        <f>IF(D359="","",IF(L359="انجام شده","انجام شده",IF(L359="لغو شده","لغو شده",IF(G359&lt;TODAY(),"عقب‌افتاده",IF(G359=TODAY(),"امروز",IF(G359&lt;=TODAY()+7,"تا ۷ روز",IF(G359&lt;=TODAY()+15,"تا ۱۵ روز","آینده")))))))</f>
        <v/>
      </c>
      <c r="N359" s="9" t="inlineStr"/>
      <c r="O359" s="9" t="n">
        <v>0</v>
      </c>
      <c r="P359" s="10" t="n"/>
      <c r="Q359" s="9" t="inlineStr"/>
      <c r="R359" s="9" t="inlineStr">
        <is>
          <t>پیش‌فرض 1405</t>
        </is>
      </c>
      <c r="S359" s="9" t="inlineStr">
        <is>
          <t>T106</t>
        </is>
      </c>
      <c r="T359" s="9" t="inlineStr">
        <is>
          <t>بله</t>
        </is>
      </c>
    </row>
    <row r="360">
      <c r="A360" s="9" t="inlineStr">
        <is>
          <t>1405-0359</t>
        </is>
      </c>
      <c r="B360" s="9" t="inlineStr">
        <is>
          <t>کیوان الکترونیک ایرانیان</t>
        </is>
      </c>
      <c r="C360" s="9" t="inlineStr">
        <is>
          <t>حقوق و دستمزد</t>
        </is>
      </c>
      <c r="D360" s="9" t="inlineStr">
        <is>
          <t>ارسال/پرداخت مالیات حقوق ماه آذر</t>
        </is>
      </c>
      <c r="E360" s="9" t="inlineStr">
        <is>
          <t>ماهانه</t>
        </is>
      </c>
      <c r="F360" s="9" t="inlineStr">
        <is>
          <t>آذر</t>
        </is>
      </c>
      <c r="G360" s="10" t="n">
        <v>46407</v>
      </c>
      <c r="H360" s="9" t="inlineStr">
        <is>
          <t>1405/10/30</t>
        </is>
      </c>
      <c r="I360" s="9" t="n">
        <v>7</v>
      </c>
      <c r="J360" s="10">
        <f>IF(G360="","",G360-I360)</f>
        <v/>
      </c>
      <c r="K360" s="9" t="inlineStr">
        <is>
          <t>خیلی بالا</t>
        </is>
      </c>
      <c r="L360" s="9" t="inlineStr">
        <is>
          <t>باز</t>
        </is>
      </c>
      <c r="M360" s="9">
        <f>IF(D360="","",IF(L360="انجام شده","انجام شده",IF(L360="لغو شده","لغو شده",IF(G360&lt;TODAY(),"عقب‌افتاده",IF(G360=TODAY(),"امروز",IF(G360&lt;=TODAY()+7,"تا ۷ روز",IF(G360&lt;=TODAY()+15,"تا ۱۵ روز","آینده")))))))</f>
        <v/>
      </c>
      <c r="N360" s="9" t="inlineStr"/>
      <c r="O360" s="9" t="n">
        <v>0</v>
      </c>
      <c r="P360" s="10" t="n"/>
      <c r="Q360" s="9" t="inlineStr"/>
      <c r="R360" s="9" t="inlineStr">
        <is>
          <t>پیش‌فرض 1405</t>
        </is>
      </c>
      <c r="S360" s="9" t="inlineStr">
        <is>
          <t>T107</t>
        </is>
      </c>
      <c r="T360" s="9" t="inlineStr">
        <is>
          <t>بله</t>
        </is>
      </c>
    </row>
    <row r="361">
      <c r="A361" s="9" t="inlineStr">
        <is>
          <t>1405-0360</t>
        </is>
      </c>
      <c r="B361" s="9" t="inlineStr">
        <is>
          <t>کیوان الکترونیک ایرانیان</t>
        </is>
      </c>
      <c r="C361" s="9" t="inlineStr">
        <is>
          <t>بایگانی</t>
        </is>
      </c>
      <c r="D361" s="9" t="inlineStr">
        <is>
          <t>بایگانی مدارک و اسناد ماه آذر</t>
        </is>
      </c>
      <c r="E361" s="9" t="inlineStr">
        <is>
          <t>ماهانه</t>
        </is>
      </c>
      <c r="F361" s="9" t="inlineStr">
        <is>
          <t>آذر</t>
        </is>
      </c>
      <c r="G361" s="10" t="n">
        <v>46392</v>
      </c>
      <c r="H361" s="9" t="inlineStr">
        <is>
          <t>1405/10/15</t>
        </is>
      </c>
      <c r="I361" s="9" t="n">
        <v>3</v>
      </c>
      <c r="J361" s="10">
        <f>IF(G361="","",G361-I361)</f>
        <v/>
      </c>
      <c r="K361" s="9" t="inlineStr">
        <is>
          <t>متوسط</t>
        </is>
      </c>
      <c r="L361" s="9" t="inlineStr">
        <is>
          <t>باز</t>
        </is>
      </c>
      <c r="M361" s="9">
        <f>IF(D361="","",IF(L361="انجام شده","انجام شده",IF(L361="لغو شده","لغو شده",IF(G361&lt;TODAY(),"عقب‌افتاده",IF(G361=TODAY(),"امروز",IF(G361&lt;=TODAY()+7,"تا ۷ روز",IF(G361&lt;=TODAY()+15,"تا ۱۵ روز","آینده")))))))</f>
        <v/>
      </c>
      <c r="N361" s="9" t="inlineStr"/>
      <c r="O361" s="9" t="n">
        <v>0</v>
      </c>
      <c r="P361" s="10" t="n"/>
      <c r="Q361" s="9" t="inlineStr"/>
      <c r="R361" s="9" t="inlineStr">
        <is>
          <t>پیش‌فرض 1405</t>
        </is>
      </c>
      <c r="S361" s="9" t="inlineStr">
        <is>
          <t>T108</t>
        </is>
      </c>
      <c r="T361" s="9" t="inlineStr">
        <is>
          <t>بله</t>
        </is>
      </c>
    </row>
    <row r="362">
      <c r="A362" s="9" t="inlineStr">
        <is>
          <t>1405-0361</t>
        </is>
      </c>
      <c r="B362" s="9" t="inlineStr">
        <is>
          <t>کیوان الکترونیک ایرانیان</t>
        </is>
      </c>
      <c r="C362" s="9" t="inlineStr">
        <is>
          <t>پایان ماه</t>
        </is>
      </c>
      <c r="D362" s="9" t="inlineStr">
        <is>
          <t>مغایرت‌گیری بانکی ماه دی</t>
        </is>
      </c>
      <c r="E362" s="9" t="inlineStr">
        <is>
          <t>ماهانه</t>
        </is>
      </c>
      <c r="F362" s="9" t="inlineStr">
        <is>
          <t>دی</t>
        </is>
      </c>
      <c r="G362" s="10" t="n">
        <v>46412</v>
      </c>
      <c r="H362" s="9" t="inlineStr">
        <is>
          <t>1405/11/05</t>
        </is>
      </c>
      <c r="I362" s="9" t="n">
        <v>5</v>
      </c>
      <c r="J362" s="10">
        <f>IF(G362="","",G362-I362)</f>
        <v/>
      </c>
      <c r="K362" s="9" t="inlineStr">
        <is>
          <t>بالا</t>
        </is>
      </c>
      <c r="L362" s="9" t="inlineStr">
        <is>
          <t>باز</t>
        </is>
      </c>
      <c r="M362" s="9">
        <f>IF(D362="","",IF(L362="انجام شده","انجام شده",IF(L362="لغو شده","لغو شده",IF(G362&lt;TODAY(),"عقب‌افتاده",IF(G362=TODAY(),"امروز",IF(G362&lt;=TODAY()+7,"تا ۷ روز",IF(G362&lt;=TODAY()+15,"تا ۱۵ روز","آینده")))))))</f>
        <v/>
      </c>
      <c r="N362" s="9" t="inlineStr"/>
      <c r="O362" s="9" t="n">
        <v>0</v>
      </c>
      <c r="P362" s="10" t="n"/>
      <c r="Q362" s="9" t="inlineStr"/>
      <c r="R362" s="9" t="inlineStr">
        <is>
          <t>پیش‌فرض 1405</t>
        </is>
      </c>
      <c r="S362" s="9" t="inlineStr">
        <is>
          <t>T101</t>
        </is>
      </c>
      <c r="T362" s="9" t="inlineStr">
        <is>
          <t>بله</t>
        </is>
      </c>
    </row>
    <row r="363">
      <c r="A363" s="9" t="inlineStr">
        <is>
          <t>1405-0362</t>
        </is>
      </c>
      <c r="B363" s="9" t="inlineStr">
        <is>
          <t>کیوان الکترونیک ایرانیان</t>
        </is>
      </c>
      <c r="C363" s="9" t="inlineStr">
        <is>
          <t>پایان ماه</t>
        </is>
      </c>
      <c r="D363" s="9" t="inlineStr">
        <is>
          <t>کنترل نهایی اسناد ماه دی</t>
        </is>
      </c>
      <c r="E363" s="9" t="inlineStr">
        <is>
          <t>ماهانه</t>
        </is>
      </c>
      <c r="F363" s="9" t="inlineStr">
        <is>
          <t>دی</t>
        </is>
      </c>
      <c r="G363" s="10" t="n">
        <v>46414</v>
      </c>
      <c r="H363" s="9" t="inlineStr">
        <is>
          <t>1405/11/07</t>
        </is>
      </c>
      <c r="I363" s="9" t="n">
        <v>5</v>
      </c>
      <c r="J363" s="10">
        <f>IF(G363="","",G363-I363)</f>
        <v/>
      </c>
      <c r="K363" s="9" t="inlineStr">
        <is>
          <t>بالا</t>
        </is>
      </c>
      <c r="L363" s="9" t="inlineStr">
        <is>
          <t>باز</t>
        </is>
      </c>
      <c r="M363" s="9">
        <f>IF(D363="","",IF(L363="انجام شده","انجام شده",IF(L363="لغو شده","لغو شده",IF(G363&lt;TODAY(),"عقب‌افتاده",IF(G363=TODAY(),"امروز",IF(G363&lt;=TODAY()+7,"تا ۷ روز",IF(G363&lt;=TODAY()+15,"تا ۱۵ روز","آینده")))))))</f>
        <v/>
      </c>
      <c r="N363" s="9" t="inlineStr"/>
      <c r="O363" s="9" t="n">
        <v>0</v>
      </c>
      <c r="P363" s="10" t="n"/>
      <c r="Q363" s="9" t="inlineStr"/>
      <c r="R363" s="9" t="inlineStr">
        <is>
          <t>پیش‌فرض 1405</t>
        </is>
      </c>
      <c r="S363" s="9" t="inlineStr">
        <is>
          <t>T102</t>
        </is>
      </c>
      <c r="T363" s="9" t="inlineStr">
        <is>
          <t>بله</t>
        </is>
      </c>
    </row>
    <row r="364">
      <c r="A364" s="9" t="inlineStr">
        <is>
          <t>1405-0363</t>
        </is>
      </c>
      <c r="B364" s="9" t="inlineStr">
        <is>
          <t>کیوان الکترونیک ایرانیان</t>
        </is>
      </c>
      <c r="C364" s="9" t="inlineStr">
        <is>
          <t>پایان ماه</t>
        </is>
      </c>
      <c r="D364" s="9" t="inlineStr">
        <is>
          <t>بستن حساب‌های ماه دی و کنترل مانده‌ها</t>
        </is>
      </c>
      <c r="E364" s="9" t="inlineStr">
        <is>
          <t>ماهانه</t>
        </is>
      </c>
      <c r="F364" s="9" t="inlineStr">
        <is>
          <t>دی</t>
        </is>
      </c>
      <c r="G364" s="10" t="n">
        <v>46417</v>
      </c>
      <c r="H364" s="9" t="inlineStr">
        <is>
          <t>1405/11/10</t>
        </is>
      </c>
      <c r="I364" s="9" t="n">
        <v>7</v>
      </c>
      <c r="J364" s="10">
        <f>IF(G364="","",G364-I364)</f>
        <v/>
      </c>
      <c r="K364" s="9" t="inlineStr">
        <is>
          <t>بالا</t>
        </is>
      </c>
      <c r="L364" s="9" t="inlineStr">
        <is>
          <t>باز</t>
        </is>
      </c>
      <c r="M364" s="9">
        <f>IF(D364="","",IF(L364="انجام شده","انجام شده",IF(L364="لغو شده","لغو شده",IF(G364&lt;TODAY(),"عقب‌افتاده",IF(G364=TODAY(),"امروز",IF(G364&lt;=TODAY()+7,"تا ۷ روز",IF(G364&lt;=TODAY()+15,"تا ۱۵ روز","آینده")))))))</f>
        <v/>
      </c>
      <c r="N364" s="9" t="inlineStr"/>
      <c r="O364" s="9" t="n">
        <v>0</v>
      </c>
      <c r="P364" s="10" t="n"/>
      <c r="Q364" s="9" t="inlineStr"/>
      <c r="R364" s="9" t="inlineStr">
        <is>
          <t>پیش‌فرض 1405</t>
        </is>
      </c>
      <c r="S364" s="9" t="inlineStr">
        <is>
          <t>T103</t>
        </is>
      </c>
      <c r="T364" s="9" t="inlineStr">
        <is>
          <t>بله</t>
        </is>
      </c>
    </row>
    <row r="365">
      <c r="A365" s="9" t="inlineStr">
        <is>
          <t>1405-0364</t>
        </is>
      </c>
      <c r="B365" s="9" t="inlineStr">
        <is>
          <t>کیوان الکترونیک ایرانیان</t>
        </is>
      </c>
      <c r="C365" s="9" t="inlineStr">
        <is>
          <t>گزارش</t>
        </is>
      </c>
      <c r="D365" s="9" t="inlineStr">
        <is>
          <t>تهیه گزارش مدیریت ماه دی</t>
        </is>
      </c>
      <c r="E365" s="9" t="inlineStr">
        <is>
          <t>ماهانه</t>
        </is>
      </c>
      <c r="F365" s="9" t="inlineStr">
        <is>
          <t>دی</t>
        </is>
      </c>
      <c r="G365" s="10" t="n">
        <v>46417</v>
      </c>
      <c r="H365" s="9" t="inlineStr">
        <is>
          <t>1405/11/10</t>
        </is>
      </c>
      <c r="I365" s="9" t="n">
        <v>5</v>
      </c>
      <c r="J365" s="10">
        <f>IF(G365="","",G365-I365)</f>
        <v/>
      </c>
      <c r="K365" s="9" t="inlineStr">
        <is>
          <t>متوسط</t>
        </is>
      </c>
      <c r="L365" s="9" t="inlineStr">
        <is>
          <t>باز</t>
        </is>
      </c>
      <c r="M365" s="9">
        <f>IF(D365="","",IF(L365="انجام شده","انجام شده",IF(L365="لغو شده","لغو شده",IF(G365&lt;TODAY(),"عقب‌افتاده",IF(G365=TODAY(),"امروز",IF(G365&lt;=TODAY()+7,"تا ۷ روز",IF(G365&lt;=TODAY()+15,"تا ۱۵ روز","آینده")))))))</f>
        <v/>
      </c>
      <c r="N365" s="9" t="inlineStr"/>
      <c r="O365" s="9" t="n">
        <v>0</v>
      </c>
      <c r="P365" s="10" t="n"/>
      <c r="Q365" s="9" t="inlineStr"/>
      <c r="R365" s="9" t="inlineStr">
        <is>
          <t>پیش‌فرض 1405</t>
        </is>
      </c>
      <c r="S365" s="9" t="inlineStr">
        <is>
          <t>T104</t>
        </is>
      </c>
      <c r="T365" s="9" t="inlineStr">
        <is>
          <t>بله</t>
        </is>
      </c>
    </row>
    <row r="366">
      <c r="A366" s="9" t="inlineStr">
        <is>
          <t>1405-0365</t>
        </is>
      </c>
      <c r="B366" s="9" t="inlineStr">
        <is>
          <t>کیوان الکترونیک ایرانیان</t>
        </is>
      </c>
      <c r="C366" s="9" t="inlineStr">
        <is>
          <t>حقوق و دستمزد</t>
        </is>
      </c>
      <c r="D366" s="9" t="inlineStr">
        <is>
          <t>محاسبه حقوق و دستمزد ماه دی</t>
        </is>
      </c>
      <c r="E366" s="9" t="inlineStr">
        <is>
          <t>ماهانه</t>
        </is>
      </c>
      <c r="F366" s="9" t="inlineStr">
        <is>
          <t>دی</t>
        </is>
      </c>
      <c r="G366" s="10" t="n">
        <v>46405</v>
      </c>
      <c r="H366" s="9" t="inlineStr">
        <is>
          <t>1405/10/28</t>
        </is>
      </c>
      <c r="I366" s="9" t="n">
        <v>5</v>
      </c>
      <c r="J366" s="10">
        <f>IF(G366="","",G366-I366)</f>
        <v/>
      </c>
      <c r="K366" s="9" t="inlineStr">
        <is>
          <t>بالا</t>
        </is>
      </c>
      <c r="L366" s="9" t="inlineStr">
        <is>
          <t>باز</t>
        </is>
      </c>
      <c r="M366" s="9">
        <f>IF(D366="","",IF(L366="انجام شده","انجام شده",IF(L366="لغو شده","لغو شده",IF(G366&lt;TODAY(),"عقب‌افتاده",IF(G366=TODAY(),"امروز",IF(G366&lt;=TODAY()+7,"تا ۷ روز",IF(G366&lt;=TODAY()+15,"تا ۱۵ روز","آینده")))))))</f>
        <v/>
      </c>
      <c r="N366" s="9" t="inlineStr"/>
      <c r="O366" s="9" t="n">
        <v>0</v>
      </c>
      <c r="P366" s="10" t="n"/>
      <c r="Q366" s="9" t="inlineStr"/>
      <c r="R366" s="9" t="inlineStr">
        <is>
          <t>پیش‌فرض 1405</t>
        </is>
      </c>
      <c r="S366" s="9" t="inlineStr">
        <is>
          <t>T105</t>
        </is>
      </c>
      <c r="T366" s="9" t="inlineStr">
        <is>
          <t>بله</t>
        </is>
      </c>
    </row>
    <row r="367">
      <c r="A367" s="9" t="inlineStr">
        <is>
          <t>1405-0366</t>
        </is>
      </c>
      <c r="B367" s="9" t="inlineStr">
        <is>
          <t>کیوان الکترونیک ایرانیان</t>
        </is>
      </c>
      <c r="C367" s="9" t="inlineStr">
        <is>
          <t>حقوق و دستمزد</t>
        </is>
      </c>
      <c r="D367" s="9" t="inlineStr">
        <is>
          <t>ارسال/پرداخت لیست بیمه ماه دی</t>
        </is>
      </c>
      <c r="E367" s="9" t="inlineStr">
        <is>
          <t>ماهانه</t>
        </is>
      </c>
      <c r="F367" s="9" t="inlineStr">
        <is>
          <t>دی</t>
        </is>
      </c>
      <c r="G367" s="10" t="n">
        <v>46437</v>
      </c>
      <c r="H367" s="9" t="inlineStr">
        <is>
          <t>1405/11/30</t>
        </is>
      </c>
      <c r="I367" s="9" t="n">
        <v>7</v>
      </c>
      <c r="J367" s="10">
        <f>IF(G367="","",G367-I367)</f>
        <v/>
      </c>
      <c r="K367" s="9" t="inlineStr">
        <is>
          <t>خیلی بالا</t>
        </is>
      </c>
      <c r="L367" s="9" t="inlineStr">
        <is>
          <t>باز</t>
        </is>
      </c>
      <c r="M367" s="9">
        <f>IF(D367="","",IF(L367="انجام شده","انجام شده",IF(L367="لغو شده","لغو شده",IF(G367&lt;TODAY(),"عقب‌افتاده",IF(G367=TODAY(),"امروز",IF(G367&lt;=TODAY()+7,"تا ۷ روز",IF(G367&lt;=TODAY()+15,"تا ۱۵ روز","آینده")))))))</f>
        <v/>
      </c>
      <c r="N367" s="9" t="inlineStr"/>
      <c r="O367" s="9" t="n">
        <v>0</v>
      </c>
      <c r="P367" s="10" t="n"/>
      <c r="Q367" s="9" t="inlineStr"/>
      <c r="R367" s="9" t="inlineStr">
        <is>
          <t>پیش‌فرض 1405</t>
        </is>
      </c>
      <c r="S367" s="9" t="inlineStr">
        <is>
          <t>T106</t>
        </is>
      </c>
      <c r="T367" s="9" t="inlineStr">
        <is>
          <t>بله</t>
        </is>
      </c>
    </row>
    <row r="368">
      <c r="A368" s="9" t="inlineStr">
        <is>
          <t>1405-0367</t>
        </is>
      </c>
      <c r="B368" s="9" t="inlineStr">
        <is>
          <t>کیوان الکترونیک ایرانیان</t>
        </is>
      </c>
      <c r="C368" s="9" t="inlineStr">
        <is>
          <t>حقوق و دستمزد</t>
        </is>
      </c>
      <c r="D368" s="9" t="inlineStr">
        <is>
          <t>ارسال/پرداخت مالیات حقوق ماه دی</t>
        </is>
      </c>
      <c r="E368" s="9" t="inlineStr">
        <is>
          <t>ماهانه</t>
        </is>
      </c>
      <c r="F368" s="9" t="inlineStr">
        <is>
          <t>دی</t>
        </is>
      </c>
      <c r="G368" s="10" t="n">
        <v>46437</v>
      </c>
      <c r="H368" s="9" t="inlineStr">
        <is>
          <t>1405/11/30</t>
        </is>
      </c>
      <c r="I368" s="9" t="n">
        <v>7</v>
      </c>
      <c r="J368" s="10">
        <f>IF(G368="","",G368-I368)</f>
        <v/>
      </c>
      <c r="K368" s="9" t="inlineStr">
        <is>
          <t>خیلی بالا</t>
        </is>
      </c>
      <c r="L368" s="9" t="inlineStr">
        <is>
          <t>باز</t>
        </is>
      </c>
      <c r="M368" s="9">
        <f>IF(D368="","",IF(L368="انجام شده","انجام شده",IF(L368="لغو شده","لغو شده",IF(G368&lt;TODAY(),"عقب‌افتاده",IF(G368=TODAY(),"امروز",IF(G368&lt;=TODAY()+7,"تا ۷ روز",IF(G368&lt;=TODAY()+15,"تا ۱۵ روز","آینده")))))))</f>
        <v/>
      </c>
      <c r="N368" s="9" t="inlineStr"/>
      <c r="O368" s="9" t="n">
        <v>0</v>
      </c>
      <c r="P368" s="10" t="n"/>
      <c r="Q368" s="9" t="inlineStr"/>
      <c r="R368" s="9" t="inlineStr">
        <is>
          <t>پیش‌فرض 1405</t>
        </is>
      </c>
      <c r="S368" s="9" t="inlineStr">
        <is>
          <t>T107</t>
        </is>
      </c>
      <c r="T368" s="9" t="inlineStr">
        <is>
          <t>بله</t>
        </is>
      </c>
    </row>
    <row r="369">
      <c r="A369" s="9" t="inlineStr">
        <is>
          <t>1405-0368</t>
        </is>
      </c>
      <c r="B369" s="9" t="inlineStr">
        <is>
          <t>کیوان الکترونیک ایرانیان</t>
        </is>
      </c>
      <c r="C369" s="9" t="inlineStr">
        <is>
          <t>بایگانی</t>
        </is>
      </c>
      <c r="D369" s="9" t="inlineStr">
        <is>
          <t>بایگانی مدارک و اسناد ماه دی</t>
        </is>
      </c>
      <c r="E369" s="9" t="inlineStr">
        <is>
          <t>ماهانه</t>
        </is>
      </c>
      <c r="F369" s="9" t="inlineStr">
        <is>
          <t>دی</t>
        </is>
      </c>
      <c r="G369" s="10" t="n">
        <v>46422</v>
      </c>
      <c r="H369" s="9" t="inlineStr">
        <is>
          <t>1405/11/15</t>
        </is>
      </c>
      <c r="I369" s="9" t="n">
        <v>3</v>
      </c>
      <c r="J369" s="10">
        <f>IF(G369="","",G369-I369)</f>
        <v/>
      </c>
      <c r="K369" s="9" t="inlineStr">
        <is>
          <t>متوسط</t>
        </is>
      </c>
      <c r="L369" s="9" t="inlineStr">
        <is>
          <t>باز</t>
        </is>
      </c>
      <c r="M369" s="9">
        <f>IF(D369="","",IF(L369="انجام شده","انجام شده",IF(L369="لغو شده","لغو شده",IF(G369&lt;TODAY(),"عقب‌افتاده",IF(G369=TODAY(),"امروز",IF(G369&lt;=TODAY()+7,"تا ۷ روز",IF(G369&lt;=TODAY()+15,"تا ۱۵ روز","آینده")))))))</f>
        <v/>
      </c>
      <c r="N369" s="9" t="inlineStr"/>
      <c r="O369" s="9" t="n">
        <v>0</v>
      </c>
      <c r="P369" s="10" t="n"/>
      <c r="Q369" s="9" t="inlineStr"/>
      <c r="R369" s="9" t="inlineStr">
        <is>
          <t>پیش‌فرض 1405</t>
        </is>
      </c>
      <c r="S369" s="9" t="inlineStr">
        <is>
          <t>T108</t>
        </is>
      </c>
      <c r="T369" s="9" t="inlineStr">
        <is>
          <t>بله</t>
        </is>
      </c>
    </row>
    <row r="370">
      <c r="A370" s="9" t="inlineStr">
        <is>
          <t>1405-0369</t>
        </is>
      </c>
      <c r="B370" s="9" t="inlineStr">
        <is>
          <t>کیوان الکترونیک ایرانیان</t>
        </is>
      </c>
      <c r="C370" s="9" t="inlineStr">
        <is>
          <t>پایان ماه</t>
        </is>
      </c>
      <c r="D370" s="9" t="inlineStr">
        <is>
          <t>مغایرت‌گیری بانکی ماه بهمن</t>
        </is>
      </c>
      <c r="E370" s="9" t="inlineStr">
        <is>
          <t>ماهانه</t>
        </is>
      </c>
      <c r="F370" s="9" t="inlineStr">
        <is>
          <t>بهمن</t>
        </is>
      </c>
      <c r="G370" s="10" t="n">
        <v>46442</v>
      </c>
      <c r="H370" s="9" t="inlineStr">
        <is>
          <t>1405/12/05</t>
        </is>
      </c>
      <c r="I370" s="9" t="n">
        <v>5</v>
      </c>
      <c r="J370" s="10">
        <f>IF(G370="","",G370-I370)</f>
        <v/>
      </c>
      <c r="K370" s="9" t="inlineStr">
        <is>
          <t>بالا</t>
        </is>
      </c>
      <c r="L370" s="9" t="inlineStr">
        <is>
          <t>باز</t>
        </is>
      </c>
      <c r="M370" s="9">
        <f>IF(D370="","",IF(L370="انجام شده","انجام شده",IF(L370="لغو شده","لغو شده",IF(G370&lt;TODAY(),"عقب‌افتاده",IF(G370=TODAY(),"امروز",IF(G370&lt;=TODAY()+7,"تا ۷ روز",IF(G370&lt;=TODAY()+15,"تا ۱۵ روز","آینده")))))))</f>
        <v/>
      </c>
      <c r="N370" s="9" t="inlineStr"/>
      <c r="O370" s="9" t="n">
        <v>0</v>
      </c>
      <c r="P370" s="10" t="n"/>
      <c r="Q370" s="9" t="inlineStr"/>
      <c r="R370" s="9" t="inlineStr">
        <is>
          <t>پیش‌فرض 1405</t>
        </is>
      </c>
      <c r="S370" s="9" t="inlineStr">
        <is>
          <t>T101</t>
        </is>
      </c>
      <c r="T370" s="9" t="inlineStr">
        <is>
          <t>بله</t>
        </is>
      </c>
    </row>
    <row r="371">
      <c r="A371" s="9" t="inlineStr">
        <is>
          <t>1405-0370</t>
        </is>
      </c>
      <c r="B371" s="9" t="inlineStr">
        <is>
          <t>کیوان الکترونیک ایرانیان</t>
        </is>
      </c>
      <c r="C371" s="9" t="inlineStr">
        <is>
          <t>پایان ماه</t>
        </is>
      </c>
      <c r="D371" s="9" t="inlineStr">
        <is>
          <t>کنترل نهایی اسناد ماه بهمن</t>
        </is>
      </c>
      <c r="E371" s="9" t="inlineStr">
        <is>
          <t>ماهانه</t>
        </is>
      </c>
      <c r="F371" s="9" t="inlineStr">
        <is>
          <t>بهمن</t>
        </is>
      </c>
      <c r="G371" s="10" t="n">
        <v>46444</v>
      </c>
      <c r="H371" s="9" t="inlineStr">
        <is>
          <t>1405/12/07</t>
        </is>
      </c>
      <c r="I371" s="9" t="n">
        <v>5</v>
      </c>
      <c r="J371" s="10">
        <f>IF(G371="","",G371-I371)</f>
        <v/>
      </c>
      <c r="K371" s="9" t="inlineStr">
        <is>
          <t>بالا</t>
        </is>
      </c>
      <c r="L371" s="9" t="inlineStr">
        <is>
          <t>باز</t>
        </is>
      </c>
      <c r="M371" s="9">
        <f>IF(D371="","",IF(L371="انجام شده","انجام شده",IF(L371="لغو شده","لغو شده",IF(G371&lt;TODAY(),"عقب‌افتاده",IF(G371=TODAY(),"امروز",IF(G371&lt;=TODAY()+7,"تا ۷ روز",IF(G371&lt;=TODAY()+15,"تا ۱۵ روز","آینده")))))))</f>
        <v/>
      </c>
      <c r="N371" s="9" t="inlineStr"/>
      <c r="O371" s="9" t="n">
        <v>0</v>
      </c>
      <c r="P371" s="10" t="n"/>
      <c r="Q371" s="9" t="inlineStr"/>
      <c r="R371" s="9" t="inlineStr">
        <is>
          <t>پیش‌فرض 1405</t>
        </is>
      </c>
      <c r="S371" s="9" t="inlineStr">
        <is>
          <t>T102</t>
        </is>
      </c>
      <c r="T371" s="9" t="inlineStr">
        <is>
          <t>بله</t>
        </is>
      </c>
    </row>
    <row r="372">
      <c r="A372" s="9" t="inlineStr">
        <is>
          <t>1405-0371</t>
        </is>
      </c>
      <c r="B372" s="9" t="inlineStr">
        <is>
          <t>کیوان الکترونیک ایرانیان</t>
        </is>
      </c>
      <c r="C372" s="9" t="inlineStr">
        <is>
          <t>پایان ماه</t>
        </is>
      </c>
      <c r="D372" s="9" t="inlineStr">
        <is>
          <t>بستن حساب‌های ماه بهمن و کنترل مانده‌ها</t>
        </is>
      </c>
      <c r="E372" s="9" t="inlineStr">
        <is>
          <t>ماهانه</t>
        </is>
      </c>
      <c r="F372" s="9" t="inlineStr">
        <is>
          <t>بهمن</t>
        </is>
      </c>
      <c r="G372" s="10" t="n">
        <v>46447</v>
      </c>
      <c r="H372" s="9" t="inlineStr">
        <is>
          <t>1405/12/10</t>
        </is>
      </c>
      <c r="I372" s="9" t="n">
        <v>7</v>
      </c>
      <c r="J372" s="10">
        <f>IF(G372="","",G372-I372)</f>
        <v/>
      </c>
      <c r="K372" s="9" t="inlineStr">
        <is>
          <t>بالا</t>
        </is>
      </c>
      <c r="L372" s="9" t="inlineStr">
        <is>
          <t>باز</t>
        </is>
      </c>
      <c r="M372" s="9">
        <f>IF(D372="","",IF(L372="انجام شده","انجام شده",IF(L372="لغو شده","لغو شده",IF(G372&lt;TODAY(),"عقب‌افتاده",IF(G372=TODAY(),"امروز",IF(G372&lt;=TODAY()+7,"تا ۷ روز",IF(G372&lt;=TODAY()+15,"تا ۱۵ روز","آینده")))))))</f>
        <v/>
      </c>
      <c r="N372" s="9" t="inlineStr"/>
      <c r="O372" s="9" t="n">
        <v>0</v>
      </c>
      <c r="P372" s="10" t="n"/>
      <c r="Q372" s="9" t="inlineStr"/>
      <c r="R372" s="9" t="inlineStr">
        <is>
          <t>پیش‌فرض 1405</t>
        </is>
      </c>
      <c r="S372" s="9" t="inlineStr">
        <is>
          <t>T103</t>
        </is>
      </c>
      <c r="T372" s="9" t="inlineStr">
        <is>
          <t>بله</t>
        </is>
      </c>
    </row>
    <row r="373">
      <c r="A373" s="9" t="inlineStr">
        <is>
          <t>1405-0372</t>
        </is>
      </c>
      <c r="B373" s="9" t="inlineStr">
        <is>
          <t>کیوان الکترونیک ایرانیان</t>
        </is>
      </c>
      <c r="C373" s="9" t="inlineStr">
        <is>
          <t>گزارش</t>
        </is>
      </c>
      <c r="D373" s="9" t="inlineStr">
        <is>
          <t>تهیه گزارش مدیریت ماه بهمن</t>
        </is>
      </c>
      <c r="E373" s="9" t="inlineStr">
        <is>
          <t>ماهانه</t>
        </is>
      </c>
      <c r="F373" s="9" t="inlineStr">
        <is>
          <t>بهمن</t>
        </is>
      </c>
      <c r="G373" s="10" t="n">
        <v>46447</v>
      </c>
      <c r="H373" s="9" t="inlineStr">
        <is>
          <t>1405/12/10</t>
        </is>
      </c>
      <c r="I373" s="9" t="n">
        <v>5</v>
      </c>
      <c r="J373" s="10">
        <f>IF(G373="","",G373-I373)</f>
        <v/>
      </c>
      <c r="K373" s="9" t="inlineStr">
        <is>
          <t>متوسط</t>
        </is>
      </c>
      <c r="L373" s="9" t="inlineStr">
        <is>
          <t>باز</t>
        </is>
      </c>
      <c r="M373" s="9">
        <f>IF(D373="","",IF(L373="انجام شده","انجام شده",IF(L373="لغو شده","لغو شده",IF(G373&lt;TODAY(),"عقب‌افتاده",IF(G373=TODAY(),"امروز",IF(G373&lt;=TODAY()+7,"تا ۷ روز",IF(G373&lt;=TODAY()+15,"تا ۱۵ روز","آینده")))))))</f>
        <v/>
      </c>
      <c r="N373" s="9" t="inlineStr"/>
      <c r="O373" s="9" t="n">
        <v>0</v>
      </c>
      <c r="P373" s="10" t="n"/>
      <c r="Q373" s="9" t="inlineStr"/>
      <c r="R373" s="9" t="inlineStr">
        <is>
          <t>پیش‌فرض 1405</t>
        </is>
      </c>
      <c r="S373" s="9" t="inlineStr">
        <is>
          <t>T104</t>
        </is>
      </c>
      <c r="T373" s="9" t="inlineStr">
        <is>
          <t>بله</t>
        </is>
      </c>
    </row>
    <row r="374">
      <c r="A374" s="9" t="inlineStr">
        <is>
          <t>1405-0373</t>
        </is>
      </c>
      <c r="B374" s="9" t="inlineStr">
        <is>
          <t>کیوان الکترونیک ایرانیان</t>
        </is>
      </c>
      <c r="C374" s="9" t="inlineStr">
        <is>
          <t>حقوق و دستمزد</t>
        </is>
      </c>
      <c r="D374" s="9" t="inlineStr">
        <is>
          <t>محاسبه حقوق و دستمزد ماه بهمن</t>
        </is>
      </c>
      <c r="E374" s="9" t="inlineStr">
        <is>
          <t>ماهانه</t>
        </is>
      </c>
      <c r="F374" s="9" t="inlineStr">
        <is>
          <t>بهمن</t>
        </is>
      </c>
      <c r="G374" s="10" t="n">
        <v>46435</v>
      </c>
      <c r="H374" s="9" t="inlineStr">
        <is>
          <t>1405/11/28</t>
        </is>
      </c>
      <c r="I374" s="9" t="n">
        <v>5</v>
      </c>
      <c r="J374" s="10">
        <f>IF(G374="","",G374-I374)</f>
        <v/>
      </c>
      <c r="K374" s="9" t="inlineStr">
        <is>
          <t>بالا</t>
        </is>
      </c>
      <c r="L374" s="9" t="inlineStr">
        <is>
          <t>باز</t>
        </is>
      </c>
      <c r="M374" s="9">
        <f>IF(D374="","",IF(L374="انجام شده","انجام شده",IF(L374="لغو شده","لغو شده",IF(G374&lt;TODAY(),"عقب‌افتاده",IF(G374=TODAY(),"امروز",IF(G374&lt;=TODAY()+7,"تا ۷ روز",IF(G374&lt;=TODAY()+15,"تا ۱۵ روز","آینده")))))))</f>
        <v/>
      </c>
      <c r="N374" s="9" t="inlineStr"/>
      <c r="O374" s="9" t="n">
        <v>0</v>
      </c>
      <c r="P374" s="10" t="n"/>
      <c r="Q374" s="9" t="inlineStr"/>
      <c r="R374" s="9" t="inlineStr">
        <is>
          <t>پیش‌فرض 1405</t>
        </is>
      </c>
      <c r="S374" s="9" t="inlineStr">
        <is>
          <t>T105</t>
        </is>
      </c>
      <c r="T374" s="9" t="inlineStr">
        <is>
          <t>بله</t>
        </is>
      </c>
    </row>
    <row r="375">
      <c r="A375" s="9" t="inlineStr">
        <is>
          <t>1405-0374</t>
        </is>
      </c>
      <c r="B375" s="9" t="inlineStr">
        <is>
          <t>کیوان الکترونیک ایرانیان</t>
        </is>
      </c>
      <c r="C375" s="9" t="inlineStr">
        <is>
          <t>حقوق و دستمزد</t>
        </is>
      </c>
      <c r="D375" s="9" t="inlineStr">
        <is>
          <t>ارسال/پرداخت لیست بیمه ماه بهمن</t>
        </is>
      </c>
      <c r="E375" s="9" t="inlineStr">
        <is>
          <t>ماهانه</t>
        </is>
      </c>
      <c r="F375" s="9" t="inlineStr">
        <is>
          <t>بهمن</t>
        </is>
      </c>
      <c r="G375" s="10" t="n">
        <v>46466</v>
      </c>
      <c r="H375" s="9" t="inlineStr">
        <is>
          <t>1405/12/29</t>
        </is>
      </c>
      <c r="I375" s="9" t="n">
        <v>7</v>
      </c>
      <c r="J375" s="10">
        <f>IF(G375="","",G375-I375)</f>
        <v/>
      </c>
      <c r="K375" s="9" t="inlineStr">
        <is>
          <t>خیلی بالا</t>
        </is>
      </c>
      <c r="L375" s="9" t="inlineStr">
        <is>
          <t>باز</t>
        </is>
      </c>
      <c r="M375" s="9">
        <f>IF(D375="","",IF(L375="انجام شده","انجام شده",IF(L375="لغو شده","لغو شده",IF(G375&lt;TODAY(),"عقب‌افتاده",IF(G375=TODAY(),"امروز",IF(G375&lt;=TODAY()+7,"تا ۷ روز",IF(G375&lt;=TODAY()+15,"تا ۱۵ روز","آینده")))))))</f>
        <v/>
      </c>
      <c r="N375" s="9" t="inlineStr"/>
      <c r="O375" s="9" t="n">
        <v>0</v>
      </c>
      <c r="P375" s="10" t="n"/>
      <c r="Q375" s="9" t="inlineStr"/>
      <c r="R375" s="9" t="inlineStr">
        <is>
          <t>پیش‌فرض 1405</t>
        </is>
      </c>
      <c r="S375" s="9" t="inlineStr">
        <is>
          <t>T106</t>
        </is>
      </c>
      <c r="T375" s="9" t="inlineStr">
        <is>
          <t>بله</t>
        </is>
      </c>
    </row>
    <row r="376">
      <c r="A376" s="9" t="inlineStr">
        <is>
          <t>1405-0375</t>
        </is>
      </c>
      <c r="B376" s="9" t="inlineStr">
        <is>
          <t>کیوان الکترونیک ایرانیان</t>
        </is>
      </c>
      <c r="C376" s="9" t="inlineStr">
        <is>
          <t>حقوق و دستمزد</t>
        </is>
      </c>
      <c r="D376" s="9" t="inlineStr">
        <is>
          <t>ارسال/پرداخت مالیات حقوق ماه بهمن</t>
        </is>
      </c>
      <c r="E376" s="9" t="inlineStr">
        <is>
          <t>ماهانه</t>
        </is>
      </c>
      <c r="F376" s="9" t="inlineStr">
        <is>
          <t>بهمن</t>
        </is>
      </c>
      <c r="G376" s="10" t="n">
        <v>46466</v>
      </c>
      <c r="H376" s="9" t="inlineStr">
        <is>
          <t>1405/12/29</t>
        </is>
      </c>
      <c r="I376" s="9" t="n">
        <v>7</v>
      </c>
      <c r="J376" s="10">
        <f>IF(G376="","",G376-I376)</f>
        <v/>
      </c>
      <c r="K376" s="9" t="inlineStr">
        <is>
          <t>خیلی بالا</t>
        </is>
      </c>
      <c r="L376" s="9" t="inlineStr">
        <is>
          <t>باز</t>
        </is>
      </c>
      <c r="M376" s="9">
        <f>IF(D376="","",IF(L376="انجام شده","انجام شده",IF(L376="لغو شده","لغو شده",IF(G376&lt;TODAY(),"عقب‌افتاده",IF(G376=TODAY(),"امروز",IF(G376&lt;=TODAY()+7,"تا ۷ روز",IF(G376&lt;=TODAY()+15,"تا ۱۵ روز","آینده")))))))</f>
        <v/>
      </c>
      <c r="N376" s="9" t="inlineStr"/>
      <c r="O376" s="9" t="n">
        <v>0</v>
      </c>
      <c r="P376" s="10" t="n"/>
      <c r="Q376" s="9" t="inlineStr"/>
      <c r="R376" s="9" t="inlineStr">
        <is>
          <t>پیش‌فرض 1405</t>
        </is>
      </c>
      <c r="S376" s="9" t="inlineStr">
        <is>
          <t>T107</t>
        </is>
      </c>
      <c r="T376" s="9" t="inlineStr">
        <is>
          <t>بله</t>
        </is>
      </c>
    </row>
    <row r="377">
      <c r="A377" s="9" t="inlineStr">
        <is>
          <t>1405-0376</t>
        </is>
      </c>
      <c r="B377" s="9" t="inlineStr">
        <is>
          <t>کیوان الکترونیک ایرانیان</t>
        </is>
      </c>
      <c r="C377" s="9" t="inlineStr">
        <is>
          <t>بایگانی</t>
        </is>
      </c>
      <c r="D377" s="9" t="inlineStr">
        <is>
          <t>بایگانی مدارک و اسناد ماه بهمن</t>
        </is>
      </c>
      <c r="E377" s="9" t="inlineStr">
        <is>
          <t>ماهانه</t>
        </is>
      </c>
      <c r="F377" s="9" t="inlineStr">
        <is>
          <t>بهمن</t>
        </is>
      </c>
      <c r="G377" s="10" t="n">
        <v>46452</v>
      </c>
      <c r="H377" s="9" t="inlineStr">
        <is>
          <t>1405/12/15</t>
        </is>
      </c>
      <c r="I377" s="9" t="n">
        <v>3</v>
      </c>
      <c r="J377" s="10">
        <f>IF(G377="","",G377-I377)</f>
        <v/>
      </c>
      <c r="K377" s="9" t="inlineStr">
        <is>
          <t>متوسط</t>
        </is>
      </c>
      <c r="L377" s="9" t="inlineStr">
        <is>
          <t>باز</t>
        </is>
      </c>
      <c r="M377" s="9">
        <f>IF(D377="","",IF(L377="انجام شده","انجام شده",IF(L377="لغو شده","لغو شده",IF(G377&lt;TODAY(),"عقب‌افتاده",IF(G377=TODAY(),"امروز",IF(G377&lt;=TODAY()+7,"تا ۷ روز",IF(G377&lt;=TODAY()+15,"تا ۱۵ روز","آینده")))))))</f>
        <v/>
      </c>
      <c r="N377" s="9" t="inlineStr"/>
      <c r="O377" s="9" t="n">
        <v>0</v>
      </c>
      <c r="P377" s="10" t="n"/>
      <c r="Q377" s="9" t="inlineStr"/>
      <c r="R377" s="9" t="inlineStr">
        <is>
          <t>پیش‌فرض 1405</t>
        </is>
      </c>
      <c r="S377" s="9" t="inlineStr">
        <is>
          <t>T108</t>
        </is>
      </c>
      <c r="T377" s="9" t="inlineStr">
        <is>
          <t>بله</t>
        </is>
      </c>
    </row>
    <row r="378">
      <c r="A378" s="9" t="inlineStr">
        <is>
          <t>1405-0377</t>
        </is>
      </c>
      <c r="B378" s="9" t="inlineStr">
        <is>
          <t>کیوان الکترونیک ایرانیان</t>
        </is>
      </c>
      <c r="C378" s="9" t="inlineStr">
        <is>
          <t>پایان ماه</t>
        </is>
      </c>
      <c r="D378" s="9" t="inlineStr">
        <is>
          <t>مغایرت‌گیری بانکی ماه اسفند</t>
        </is>
      </c>
      <c r="E378" s="9" t="inlineStr">
        <is>
          <t>ماهانه</t>
        </is>
      </c>
      <c r="F378" s="9" t="inlineStr">
        <is>
          <t>اسفند</t>
        </is>
      </c>
      <c r="G378" s="10" t="n">
        <v>46471</v>
      </c>
      <c r="H378" s="9" t="inlineStr">
        <is>
          <t>1406/01/05</t>
        </is>
      </c>
      <c r="I378" s="9" t="n">
        <v>5</v>
      </c>
      <c r="J378" s="10">
        <f>IF(G378="","",G378-I378)</f>
        <v/>
      </c>
      <c r="K378" s="9" t="inlineStr">
        <is>
          <t>بالا</t>
        </is>
      </c>
      <c r="L378" s="9" t="inlineStr">
        <is>
          <t>باز</t>
        </is>
      </c>
      <c r="M378" s="9">
        <f>IF(D378="","",IF(L378="انجام شده","انجام شده",IF(L378="لغو شده","لغو شده",IF(G378&lt;TODAY(),"عقب‌افتاده",IF(G378=TODAY(),"امروز",IF(G378&lt;=TODAY()+7,"تا ۷ روز",IF(G378&lt;=TODAY()+15,"تا ۱۵ روز","آینده")))))))</f>
        <v/>
      </c>
      <c r="N378" s="9" t="inlineStr"/>
      <c r="O378" s="9" t="n">
        <v>0</v>
      </c>
      <c r="P378" s="10" t="n"/>
      <c r="Q378" s="9" t="inlineStr"/>
      <c r="R378" s="9" t="inlineStr">
        <is>
          <t>پیش‌فرض 1405</t>
        </is>
      </c>
      <c r="S378" s="9" t="inlineStr">
        <is>
          <t>T101</t>
        </is>
      </c>
      <c r="T378" s="9" t="inlineStr">
        <is>
          <t>بله</t>
        </is>
      </c>
    </row>
    <row r="379">
      <c r="A379" s="9" t="inlineStr">
        <is>
          <t>1405-0378</t>
        </is>
      </c>
      <c r="B379" s="9" t="inlineStr">
        <is>
          <t>کیوان الکترونیک ایرانیان</t>
        </is>
      </c>
      <c r="C379" s="9" t="inlineStr">
        <is>
          <t>پایان ماه</t>
        </is>
      </c>
      <c r="D379" s="9" t="inlineStr">
        <is>
          <t>کنترل نهایی اسناد ماه اسفند</t>
        </is>
      </c>
      <c r="E379" s="9" t="inlineStr">
        <is>
          <t>ماهانه</t>
        </is>
      </c>
      <c r="F379" s="9" t="inlineStr">
        <is>
          <t>اسفند</t>
        </is>
      </c>
      <c r="G379" s="10" t="n">
        <v>46473</v>
      </c>
      <c r="H379" s="9" t="inlineStr">
        <is>
          <t>1406/01/07</t>
        </is>
      </c>
      <c r="I379" s="9" t="n">
        <v>5</v>
      </c>
      <c r="J379" s="10">
        <f>IF(G379="","",G379-I379)</f>
        <v/>
      </c>
      <c r="K379" s="9" t="inlineStr">
        <is>
          <t>بالا</t>
        </is>
      </c>
      <c r="L379" s="9" t="inlineStr">
        <is>
          <t>باز</t>
        </is>
      </c>
      <c r="M379" s="9">
        <f>IF(D379="","",IF(L379="انجام شده","انجام شده",IF(L379="لغو شده","لغو شده",IF(G379&lt;TODAY(),"عقب‌افتاده",IF(G379=TODAY(),"امروز",IF(G379&lt;=TODAY()+7,"تا ۷ روز",IF(G379&lt;=TODAY()+15,"تا ۱۵ روز","آینده")))))))</f>
        <v/>
      </c>
      <c r="N379" s="9" t="inlineStr"/>
      <c r="O379" s="9" t="n">
        <v>0</v>
      </c>
      <c r="P379" s="10" t="n"/>
      <c r="Q379" s="9" t="inlineStr"/>
      <c r="R379" s="9" t="inlineStr">
        <is>
          <t>پیش‌فرض 1405</t>
        </is>
      </c>
      <c r="S379" s="9" t="inlineStr">
        <is>
          <t>T102</t>
        </is>
      </c>
      <c r="T379" s="9" t="inlineStr">
        <is>
          <t>بله</t>
        </is>
      </c>
    </row>
    <row r="380">
      <c r="A380" s="9" t="inlineStr">
        <is>
          <t>1405-0379</t>
        </is>
      </c>
      <c r="B380" s="9" t="inlineStr">
        <is>
          <t>کیوان الکترونیک ایرانیان</t>
        </is>
      </c>
      <c r="C380" s="9" t="inlineStr">
        <is>
          <t>پایان ماه</t>
        </is>
      </c>
      <c r="D380" s="9" t="inlineStr">
        <is>
          <t>بستن حساب‌های ماه اسفند و کنترل مانده‌ها</t>
        </is>
      </c>
      <c r="E380" s="9" t="inlineStr">
        <is>
          <t>ماهانه</t>
        </is>
      </c>
      <c r="F380" s="9" t="inlineStr">
        <is>
          <t>اسفند</t>
        </is>
      </c>
      <c r="G380" s="10" t="n">
        <v>46476</v>
      </c>
      <c r="H380" s="9" t="inlineStr">
        <is>
          <t>1406/01/10</t>
        </is>
      </c>
      <c r="I380" s="9" t="n">
        <v>7</v>
      </c>
      <c r="J380" s="10">
        <f>IF(G380="","",G380-I380)</f>
        <v/>
      </c>
      <c r="K380" s="9" t="inlineStr">
        <is>
          <t>بالا</t>
        </is>
      </c>
      <c r="L380" s="9" t="inlineStr">
        <is>
          <t>باز</t>
        </is>
      </c>
      <c r="M380" s="9">
        <f>IF(D380="","",IF(L380="انجام شده","انجام شده",IF(L380="لغو شده","لغو شده",IF(G380&lt;TODAY(),"عقب‌افتاده",IF(G380=TODAY(),"امروز",IF(G380&lt;=TODAY()+7,"تا ۷ روز",IF(G380&lt;=TODAY()+15,"تا ۱۵ روز","آینده")))))))</f>
        <v/>
      </c>
      <c r="N380" s="9" t="inlineStr"/>
      <c r="O380" s="9" t="n">
        <v>0</v>
      </c>
      <c r="P380" s="10" t="n"/>
      <c r="Q380" s="9" t="inlineStr"/>
      <c r="R380" s="9" t="inlineStr">
        <is>
          <t>پیش‌فرض 1405</t>
        </is>
      </c>
      <c r="S380" s="9" t="inlineStr">
        <is>
          <t>T103</t>
        </is>
      </c>
      <c r="T380" s="9" t="inlineStr">
        <is>
          <t>بله</t>
        </is>
      </c>
    </row>
    <row r="381">
      <c r="A381" s="9" t="inlineStr">
        <is>
          <t>1405-0380</t>
        </is>
      </c>
      <c r="B381" s="9" t="inlineStr">
        <is>
          <t>کیوان الکترونیک ایرانیان</t>
        </is>
      </c>
      <c r="C381" s="9" t="inlineStr">
        <is>
          <t>گزارش</t>
        </is>
      </c>
      <c r="D381" s="9" t="inlineStr">
        <is>
          <t>تهیه گزارش مدیریت ماه اسفند</t>
        </is>
      </c>
      <c r="E381" s="9" t="inlineStr">
        <is>
          <t>ماهانه</t>
        </is>
      </c>
      <c r="F381" s="9" t="inlineStr">
        <is>
          <t>اسفند</t>
        </is>
      </c>
      <c r="G381" s="10" t="n">
        <v>46476</v>
      </c>
      <c r="H381" s="9" t="inlineStr">
        <is>
          <t>1406/01/10</t>
        </is>
      </c>
      <c r="I381" s="9" t="n">
        <v>5</v>
      </c>
      <c r="J381" s="10">
        <f>IF(G381="","",G381-I381)</f>
        <v/>
      </c>
      <c r="K381" s="9" t="inlineStr">
        <is>
          <t>متوسط</t>
        </is>
      </c>
      <c r="L381" s="9" t="inlineStr">
        <is>
          <t>باز</t>
        </is>
      </c>
      <c r="M381" s="9">
        <f>IF(D381="","",IF(L381="انجام شده","انجام شده",IF(L381="لغو شده","لغو شده",IF(G381&lt;TODAY(),"عقب‌افتاده",IF(G381=TODAY(),"امروز",IF(G381&lt;=TODAY()+7,"تا ۷ روز",IF(G381&lt;=TODAY()+15,"تا ۱۵ روز","آینده")))))))</f>
        <v/>
      </c>
      <c r="N381" s="9" t="inlineStr"/>
      <c r="O381" s="9" t="n">
        <v>0</v>
      </c>
      <c r="P381" s="10" t="n"/>
      <c r="Q381" s="9" t="inlineStr"/>
      <c r="R381" s="9" t="inlineStr">
        <is>
          <t>پیش‌فرض 1405</t>
        </is>
      </c>
      <c r="S381" s="9" t="inlineStr">
        <is>
          <t>T104</t>
        </is>
      </c>
      <c r="T381" s="9" t="inlineStr">
        <is>
          <t>بله</t>
        </is>
      </c>
    </row>
    <row r="382">
      <c r="A382" s="9" t="inlineStr">
        <is>
          <t>1405-0381</t>
        </is>
      </c>
      <c r="B382" s="9" t="inlineStr">
        <is>
          <t>کیوان الکترونیک ایرانیان</t>
        </is>
      </c>
      <c r="C382" s="9" t="inlineStr">
        <is>
          <t>حقوق و دستمزد</t>
        </is>
      </c>
      <c r="D382" s="9" t="inlineStr">
        <is>
          <t>محاسبه حقوق و دستمزد ماه اسفند</t>
        </is>
      </c>
      <c r="E382" s="9" t="inlineStr">
        <is>
          <t>ماهانه</t>
        </is>
      </c>
      <c r="F382" s="9" t="inlineStr">
        <is>
          <t>اسفند</t>
        </is>
      </c>
      <c r="G382" s="10" t="n">
        <v>46465</v>
      </c>
      <c r="H382" s="9" t="inlineStr">
        <is>
          <t>1405/12/28</t>
        </is>
      </c>
      <c r="I382" s="9" t="n">
        <v>5</v>
      </c>
      <c r="J382" s="10">
        <f>IF(G382="","",G382-I382)</f>
        <v/>
      </c>
      <c r="K382" s="9" t="inlineStr">
        <is>
          <t>بالا</t>
        </is>
      </c>
      <c r="L382" s="9" t="inlineStr">
        <is>
          <t>باز</t>
        </is>
      </c>
      <c r="M382" s="9">
        <f>IF(D382="","",IF(L382="انجام شده","انجام شده",IF(L382="لغو شده","لغو شده",IF(G382&lt;TODAY(),"عقب‌افتاده",IF(G382=TODAY(),"امروز",IF(G382&lt;=TODAY()+7,"تا ۷ روز",IF(G382&lt;=TODAY()+15,"تا ۱۵ روز","آینده")))))))</f>
        <v/>
      </c>
      <c r="N382" s="9" t="inlineStr"/>
      <c r="O382" s="9" t="n">
        <v>0</v>
      </c>
      <c r="P382" s="10" t="n"/>
      <c r="Q382" s="9" t="inlineStr"/>
      <c r="R382" s="9" t="inlineStr">
        <is>
          <t>پیش‌فرض 1405</t>
        </is>
      </c>
      <c r="S382" s="9" t="inlineStr">
        <is>
          <t>T105</t>
        </is>
      </c>
      <c r="T382" s="9" t="inlineStr">
        <is>
          <t>بله</t>
        </is>
      </c>
    </row>
    <row r="383">
      <c r="A383" s="9" t="inlineStr">
        <is>
          <t>1405-0382</t>
        </is>
      </c>
      <c r="B383" s="9" t="inlineStr">
        <is>
          <t>کیوان الکترونیک ایرانیان</t>
        </is>
      </c>
      <c r="C383" s="9" t="inlineStr">
        <is>
          <t>حقوق و دستمزد</t>
        </is>
      </c>
      <c r="D383" s="9" t="inlineStr">
        <is>
          <t>ارسال/پرداخت لیست بیمه ماه اسفند</t>
        </is>
      </c>
      <c r="E383" s="9" t="inlineStr">
        <is>
          <t>ماهانه</t>
        </is>
      </c>
      <c r="F383" s="9" t="inlineStr">
        <is>
          <t>اسفند</t>
        </is>
      </c>
      <c r="G383" s="10" t="n">
        <v>46497</v>
      </c>
      <c r="H383" s="9" t="inlineStr">
        <is>
          <t>1406/01/31</t>
        </is>
      </c>
      <c r="I383" s="9" t="n">
        <v>7</v>
      </c>
      <c r="J383" s="10">
        <f>IF(G383="","",G383-I383)</f>
        <v/>
      </c>
      <c r="K383" s="9" t="inlineStr">
        <is>
          <t>خیلی بالا</t>
        </is>
      </c>
      <c r="L383" s="9" t="inlineStr">
        <is>
          <t>باز</t>
        </is>
      </c>
      <c r="M383" s="9">
        <f>IF(D383="","",IF(L383="انجام شده","انجام شده",IF(L383="لغو شده","لغو شده",IF(G383&lt;TODAY(),"عقب‌افتاده",IF(G383=TODAY(),"امروز",IF(G383&lt;=TODAY()+7,"تا ۷ روز",IF(G383&lt;=TODAY()+15,"تا ۱۵ روز","آینده")))))))</f>
        <v/>
      </c>
      <c r="N383" s="9" t="inlineStr"/>
      <c r="O383" s="9" t="n">
        <v>0</v>
      </c>
      <c r="P383" s="10" t="n"/>
      <c r="Q383" s="9" t="inlineStr"/>
      <c r="R383" s="9" t="inlineStr">
        <is>
          <t>پیش‌فرض 1405</t>
        </is>
      </c>
      <c r="S383" s="9" t="inlineStr">
        <is>
          <t>T106</t>
        </is>
      </c>
      <c r="T383" s="9" t="inlineStr">
        <is>
          <t>بله</t>
        </is>
      </c>
    </row>
    <row r="384">
      <c r="A384" s="9" t="inlineStr">
        <is>
          <t>1405-0383</t>
        </is>
      </c>
      <c r="B384" s="9" t="inlineStr">
        <is>
          <t>کیوان الکترونیک ایرانیان</t>
        </is>
      </c>
      <c r="C384" s="9" t="inlineStr">
        <is>
          <t>حقوق و دستمزد</t>
        </is>
      </c>
      <c r="D384" s="9" t="inlineStr">
        <is>
          <t>ارسال/پرداخت مالیات حقوق ماه اسفند</t>
        </is>
      </c>
      <c r="E384" s="9" t="inlineStr">
        <is>
          <t>ماهانه</t>
        </is>
      </c>
      <c r="F384" s="9" t="inlineStr">
        <is>
          <t>اسفند</t>
        </is>
      </c>
      <c r="G384" s="10" t="n">
        <v>46497</v>
      </c>
      <c r="H384" s="9" t="inlineStr">
        <is>
          <t>1406/01/31</t>
        </is>
      </c>
      <c r="I384" s="9" t="n">
        <v>7</v>
      </c>
      <c r="J384" s="10">
        <f>IF(G384="","",G384-I384)</f>
        <v/>
      </c>
      <c r="K384" s="9" t="inlineStr">
        <is>
          <t>خیلی بالا</t>
        </is>
      </c>
      <c r="L384" s="9" t="inlineStr">
        <is>
          <t>باز</t>
        </is>
      </c>
      <c r="M384" s="9">
        <f>IF(D384="","",IF(L384="انجام شده","انجام شده",IF(L384="لغو شده","لغو شده",IF(G384&lt;TODAY(),"عقب‌افتاده",IF(G384=TODAY(),"امروز",IF(G384&lt;=TODAY()+7,"تا ۷ روز",IF(G384&lt;=TODAY()+15,"تا ۱۵ روز","آینده")))))))</f>
        <v/>
      </c>
      <c r="N384" s="9" t="inlineStr"/>
      <c r="O384" s="9" t="n">
        <v>0</v>
      </c>
      <c r="P384" s="10" t="n"/>
      <c r="Q384" s="9" t="inlineStr"/>
      <c r="R384" s="9" t="inlineStr">
        <is>
          <t>پیش‌فرض 1405</t>
        </is>
      </c>
      <c r="S384" s="9" t="inlineStr">
        <is>
          <t>T107</t>
        </is>
      </c>
      <c r="T384" s="9" t="inlineStr">
        <is>
          <t>بله</t>
        </is>
      </c>
    </row>
    <row r="385">
      <c r="A385" s="9" t="inlineStr">
        <is>
          <t>1405-0384</t>
        </is>
      </c>
      <c r="B385" s="9" t="inlineStr">
        <is>
          <t>کیوان الکترونیک ایرانیان</t>
        </is>
      </c>
      <c r="C385" s="9" t="inlineStr">
        <is>
          <t>بایگانی</t>
        </is>
      </c>
      <c r="D385" s="9" t="inlineStr">
        <is>
          <t>بایگانی مدارک و اسناد ماه اسفند</t>
        </is>
      </c>
      <c r="E385" s="9" t="inlineStr">
        <is>
          <t>ماهانه</t>
        </is>
      </c>
      <c r="F385" s="9" t="inlineStr">
        <is>
          <t>اسفند</t>
        </is>
      </c>
      <c r="G385" s="10" t="n">
        <v>46481</v>
      </c>
      <c r="H385" s="9" t="inlineStr">
        <is>
          <t>1406/01/15</t>
        </is>
      </c>
      <c r="I385" s="9" t="n">
        <v>3</v>
      </c>
      <c r="J385" s="10">
        <f>IF(G385="","",G385-I385)</f>
        <v/>
      </c>
      <c r="K385" s="9" t="inlineStr">
        <is>
          <t>متوسط</t>
        </is>
      </c>
      <c r="L385" s="9" t="inlineStr">
        <is>
          <t>باز</t>
        </is>
      </c>
      <c r="M385" s="9">
        <f>IF(D385="","",IF(L385="انجام شده","انجام شده",IF(L385="لغو شده","لغو شده",IF(G385&lt;TODAY(),"عقب‌افتاده",IF(G385=TODAY(),"امروز",IF(G385&lt;=TODAY()+7,"تا ۷ روز",IF(G385&lt;=TODAY()+15,"تا ۱۵ روز","آینده")))))))</f>
        <v/>
      </c>
      <c r="N385" s="9" t="inlineStr"/>
      <c r="O385" s="9" t="n">
        <v>0</v>
      </c>
      <c r="P385" s="10" t="n"/>
      <c r="Q385" s="9" t="inlineStr"/>
      <c r="R385" s="9" t="inlineStr">
        <is>
          <t>پیش‌فرض 1405</t>
        </is>
      </c>
      <c r="S385" s="9" t="inlineStr">
        <is>
          <t>T108</t>
        </is>
      </c>
      <c r="T385" s="9" t="inlineStr">
        <is>
          <t>بله</t>
        </is>
      </c>
    </row>
    <row r="386">
      <c r="A386" s="9" t="inlineStr">
        <is>
          <t>1405-0385</t>
        </is>
      </c>
      <c r="B386" s="9" t="inlineStr">
        <is>
          <t>کیهان توسعه البرز</t>
        </is>
      </c>
      <c r="C386" s="9" t="inlineStr">
        <is>
          <t>پایان ماه</t>
        </is>
      </c>
      <c r="D386" s="9" t="inlineStr">
        <is>
          <t>مغایرت‌گیری بانکی ماه فروردین</t>
        </is>
      </c>
      <c r="E386" s="9" t="inlineStr">
        <is>
          <t>ماهانه</t>
        </is>
      </c>
      <c r="F386" s="9" t="inlineStr">
        <is>
          <t>فروردین</t>
        </is>
      </c>
      <c r="G386" s="10" t="n">
        <v>46137</v>
      </c>
      <c r="H386" s="9" t="inlineStr">
        <is>
          <t>1405/02/05</t>
        </is>
      </c>
      <c r="I386" s="9" t="n">
        <v>5</v>
      </c>
      <c r="J386" s="10">
        <f>IF(G386="","",G386-I386)</f>
        <v/>
      </c>
      <c r="K386" s="9" t="inlineStr">
        <is>
          <t>بالا</t>
        </is>
      </c>
      <c r="L386" s="9" t="inlineStr">
        <is>
          <t>باز</t>
        </is>
      </c>
      <c r="M386" s="9">
        <f>IF(D386="","",IF(L386="انجام شده","انجام شده",IF(L386="لغو شده","لغو شده",IF(G386&lt;TODAY(),"عقب‌افتاده",IF(G386=TODAY(),"امروز",IF(G386&lt;=TODAY()+7,"تا ۷ روز",IF(G386&lt;=TODAY()+15,"تا ۱۵ روز","آینده")))))))</f>
        <v/>
      </c>
      <c r="N386" s="9" t="inlineStr"/>
      <c r="O386" s="9" t="n">
        <v>0</v>
      </c>
      <c r="P386" s="10" t="n"/>
      <c r="Q386" s="9" t="inlineStr"/>
      <c r="R386" s="9" t="inlineStr">
        <is>
          <t>پیش‌فرض 1405</t>
        </is>
      </c>
      <c r="S386" s="9" t="inlineStr">
        <is>
          <t>T101</t>
        </is>
      </c>
      <c r="T386" s="9" t="inlineStr">
        <is>
          <t>بله</t>
        </is>
      </c>
    </row>
    <row r="387">
      <c r="A387" s="9" t="inlineStr">
        <is>
          <t>1405-0386</t>
        </is>
      </c>
      <c r="B387" s="9" t="inlineStr">
        <is>
          <t>کیهان توسعه البرز</t>
        </is>
      </c>
      <c r="C387" s="9" t="inlineStr">
        <is>
          <t>پایان ماه</t>
        </is>
      </c>
      <c r="D387" s="9" t="inlineStr">
        <is>
          <t>کنترل نهایی اسناد ماه فروردین</t>
        </is>
      </c>
      <c r="E387" s="9" t="inlineStr">
        <is>
          <t>ماهانه</t>
        </is>
      </c>
      <c r="F387" s="9" t="inlineStr">
        <is>
          <t>فروردین</t>
        </is>
      </c>
      <c r="G387" s="10" t="n">
        <v>46139</v>
      </c>
      <c r="H387" s="9" t="inlineStr">
        <is>
          <t>1405/02/07</t>
        </is>
      </c>
      <c r="I387" s="9" t="n">
        <v>5</v>
      </c>
      <c r="J387" s="10">
        <f>IF(G387="","",G387-I387)</f>
        <v/>
      </c>
      <c r="K387" s="9" t="inlineStr">
        <is>
          <t>بالا</t>
        </is>
      </c>
      <c r="L387" s="9" t="inlineStr">
        <is>
          <t>باز</t>
        </is>
      </c>
      <c r="M387" s="9">
        <f>IF(D387="","",IF(L387="انجام شده","انجام شده",IF(L387="لغو شده","لغو شده",IF(G387&lt;TODAY(),"عقب‌افتاده",IF(G387=TODAY(),"امروز",IF(G387&lt;=TODAY()+7,"تا ۷ روز",IF(G387&lt;=TODAY()+15,"تا ۱۵ روز","آینده")))))))</f>
        <v/>
      </c>
      <c r="N387" s="9" t="inlineStr"/>
      <c r="O387" s="9" t="n">
        <v>0</v>
      </c>
      <c r="P387" s="10" t="n"/>
      <c r="Q387" s="9" t="inlineStr"/>
      <c r="R387" s="9" t="inlineStr">
        <is>
          <t>پیش‌فرض 1405</t>
        </is>
      </c>
      <c r="S387" s="9" t="inlineStr">
        <is>
          <t>T102</t>
        </is>
      </c>
      <c r="T387" s="9" t="inlineStr">
        <is>
          <t>بله</t>
        </is>
      </c>
    </row>
    <row r="388">
      <c r="A388" s="9" t="inlineStr">
        <is>
          <t>1405-0387</t>
        </is>
      </c>
      <c r="B388" s="9" t="inlineStr">
        <is>
          <t>کیهان توسعه البرز</t>
        </is>
      </c>
      <c r="C388" s="9" t="inlineStr">
        <is>
          <t>پایان ماه</t>
        </is>
      </c>
      <c r="D388" s="9" t="inlineStr">
        <is>
          <t>بستن حساب‌های ماه فروردین و کنترل مانده‌ها</t>
        </is>
      </c>
      <c r="E388" s="9" t="inlineStr">
        <is>
          <t>ماهانه</t>
        </is>
      </c>
      <c r="F388" s="9" t="inlineStr">
        <is>
          <t>فروردین</t>
        </is>
      </c>
      <c r="G388" s="10" t="n">
        <v>46142</v>
      </c>
      <c r="H388" s="9" t="inlineStr">
        <is>
          <t>1405/02/10</t>
        </is>
      </c>
      <c r="I388" s="9" t="n">
        <v>7</v>
      </c>
      <c r="J388" s="10">
        <f>IF(G388="","",G388-I388)</f>
        <v/>
      </c>
      <c r="K388" s="9" t="inlineStr">
        <is>
          <t>بالا</t>
        </is>
      </c>
      <c r="L388" s="9" t="inlineStr">
        <is>
          <t>باز</t>
        </is>
      </c>
      <c r="M388" s="9">
        <f>IF(D388="","",IF(L388="انجام شده","انجام شده",IF(L388="لغو شده","لغو شده",IF(G388&lt;TODAY(),"عقب‌افتاده",IF(G388=TODAY(),"امروز",IF(G388&lt;=TODAY()+7,"تا ۷ روز",IF(G388&lt;=TODAY()+15,"تا ۱۵ روز","آینده")))))))</f>
        <v/>
      </c>
      <c r="N388" s="9" t="inlineStr"/>
      <c r="O388" s="9" t="n">
        <v>0</v>
      </c>
      <c r="P388" s="10" t="n"/>
      <c r="Q388" s="9" t="inlineStr"/>
      <c r="R388" s="9" t="inlineStr">
        <is>
          <t>پیش‌فرض 1405</t>
        </is>
      </c>
      <c r="S388" s="9" t="inlineStr">
        <is>
          <t>T103</t>
        </is>
      </c>
      <c r="T388" s="9" t="inlineStr">
        <is>
          <t>بله</t>
        </is>
      </c>
    </row>
    <row r="389">
      <c r="A389" s="9" t="inlineStr">
        <is>
          <t>1405-0388</t>
        </is>
      </c>
      <c r="B389" s="9" t="inlineStr">
        <is>
          <t>کیهان توسعه البرز</t>
        </is>
      </c>
      <c r="C389" s="9" t="inlineStr">
        <is>
          <t>گزارش</t>
        </is>
      </c>
      <c r="D389" s="9" t="inlineStr">
        <is>
          <t>تهیه گزارش مدیریت ماه فروردین</t>
        </is>
      </c>
      <c r="E389" s="9" t="inlineStr">
        <is>
          <t>ماهانه</t>
        </is>
      </c>
      <c r="F389" s="9" t="inlineStr">
        <is>
          <t>فروردین</t>
        </is>
      </c>
      <c r="G389" s="10" t="n">
        <v>46142</v>
      </c>
      <c r="H389" s="9" t="inlineStr">
        <is>
          <t>1405/02/10</t>
        </is>
      </c>
      <c r="I389" s="9" t="n">
        <v>5</v>
      </c>
      <c r="J389" s="10">
        <f>IF(G389="","",G389-I389)</f>
        <v/>
      </c>
      <c r="K389" s="9" t="inlineStr">
        <is>
          <t>متوسط</t>
        </is>
      </c>
      <c r="L389" s="9" t="inlineStr">
        <is>
          <t>باز</t>
        </is>
      </c>
      <c r="M389" s="9">
        <f>IF(D389="","",IF(L389="انجام شده","انجام شده",IF(L389="لغو شده","لغو شده",IF(G389&lt;TODAY(),"عقب‌افتاده",IF(G389=TODAY(),"امروز",IF(G389&lt;=TODAY()+7,"تا ۷ روز",IF(G389&lt;=TODAY()+15,"تا ۱۵ روز","آینده")))))))</f>
        <v/>
      </c>
      <c r="N389" s="9" t="inlineStr"/>
      <c r="O389" s="9" t="n">
        <v>0</v>
      </c>
      <c r="P389" s="10" t="n"/>
      <c r="Q389" s="9" t="inlineStr"/>
      <c r="R389" s="9" t="inlineStr">
        <is>
          <t>پیش‌فرض 1405</t>
        </is>
      </c>
      <c r="S389" s="9" t="inlineStr">
        <is>
          <t>T104</t>
        </is>
      </c>
      <c r="T389" s="9" t="inlineStr">
        <is>
          <t>بله</t>
        </is>
      </c>
    </row>
    <row r="390">
      <c r="A390" s="9" t="inlineStr">
        <is>
          <t>1405-0389</t>
        </is>
      </c>
      <c r="B390" s="9" t="inlineStr">
        <is>
          <t>کیهان توسعه البرز</t>
        </is>
      </c>
      <c r="C390" s="9" t="inlineStr">
        <is>
          <t>حقوق و دستمزد</t>
        </is>
      </c>
      <c r="D390" s="9" t="inlineStr">
        <is>
          <t>محاسبه حقوق و دستمزد ماه فروردین</t>
        </is>
      </c>
      <c r="E390" s="9" t="inlineStr">
        <is>
          <t>ماهانه</t>
        </is>
      </c>
      <c r="F390" s="9" t="inlineStr">
        <is>
          <t>فروردین</t>
        </is>
      </c>
      <c r="G390" s="10" t="n">
        <v>46129</v>
      </c>
      <c r="H390" s="9" t="inlineStr">
        <is>
          <t>1405/01/28</t>
        </is>
      </c>
      <c r="I390" s="9" t="n">
        <v>5</v>
      </c>
      <c r="J390" s="10">
        <f>IF(G390="","",G390-I390)</f>
        <v/>
      </c>
      <c r="K390" s="9" t="inlineStr">
        <is>
          <t>بالا</t>
        </is>
      </c>
      <c r="L390" s="9" t="inlineStr">
        <is>
          <t>باز</t>
        </is>
      </c>
      <c r="M390" s="9">
        <f>IF(D390="","",IF(L390="انجام شده","انجام شده",IF(L390="لغو شده","لغو شده",IF(G390&lt;TODAY(),"عقب‌افتاده",IF(G390=TODAY(),"امروز",IF(G390&lt;=TODAY()+7,"تا ۷ روز",IF(G390&lt;=TODAY()+15,"تا ۱۵ روز","آینده")))))))</f>
        <v/>
      </c>
      <c r="N390" s="9" t="inlineStr"/>
      <c r="O390" s="9" t="n">
        <v>0</v>
      </c>
      <c r="P390" s="10" t="n"/>
      <c r="Q390" s="9" t="inlineStr"/>
      <c r="R390" s="9" t="inlineStr">
        <is>
          <t>پیش‌فرض 1405</t>
        </is>
      </c>
      <c r="S390" s="9" t="inlineStr">
        <is>
          <t>T105</t>
        </is>
      </c>
      <c r="T390" s="9" t="inlineStr">
        <is>
          <t>بله</t>
        </is>
      </c>
    </row>
    <row r="391">
      <c r="A391" s="9" t="inlineStr">
        <is>
          <t>1405-0390</t>
        </is>
      </c>
      <c r="B391" s="9" t="inlineStr">
        <is>
          <t>کیهان توسعه البرز</t>
        </is>
      </c>
      <c r="C391" s="9" t="inlineStr">
        <is>
          <t>حقوق و دستمزد</t>
        </is>
      </c>
      <c r="D391" s="9" t="inlineStr">
        <is>
          <t>ارسال/پرداخت لیست بیمه ماه فروردین</t>
        </is>
      </c>
      <c r="E391" s="9" t="inlineStr">
        <is>
          <t>ماهانه</t>
        </is>
      </c>
      <c r="F391" s="9" t="inlineStr">
        <is>
          <t>فروردین</t>
        </is>
      </c>
      <c r="G391" s="10" t="n">
        <v>46163</v>
      </c>
      <c r="H391" s="9" t="inlineStr">
        <is>
          <t>1405/02/31</t>
        </is>
      </c>
      <c r="I391" s="9" t="n">
        <v>7</v>
      </c>
      <c r="J391" s="10">
        <f>IF(G391="","",G391-I391)</f>
        <v/>
      </c>
      <c r="K391" s="9" t="inlineStr">
        <is>
          <t>خیلی بالا</t>
        </is>
      </c>
      <c r="L391" s="9" t="inlineStr">
        <is>
          <t>باز</t>
        </is>
      </c>
      <c r="M391" s="9">
        <f>IF(D391="","",IF(L391="انجام شده","انجام شده",IF(L391="لغو شده","لغو شده",IF(G391&lt;TODAY(),"عقب‌افتاده",IF(G391=TODAY(),"امروز",IF(G391&lt;=TODAY()+7,"تا ۷ روز",IF(G391&lt;=TODAY()+15,"تا ۱۵ روز","آینده")))))))</f>
        <v/>
      </c>
      <c r="N391" s="9" t="inlineStr"/>
      <c r="O391" s="9" t="n">
        <v>0</v>
      </c>
      <c r="P391" s="10" t="n"/>
      <c r="Q391" s="9" t="inlineStr"/>
      <c r="R391" s="9" t="inlineStr">
        <is>
          <t>پیش‌فرض 1405</t>
        </is>
      </c>
      <c r="S391" s="9" t="inlineStr">
        <is>
          <t>T106</t>
        </is>
      </c>
      <c r="T391" s="9" t="inlineStr">
        <is>
          <t>بله</t>
        </is>
      </c>
    </row>
    <row r="392">
      <c r="A392" s="9" t="inlineStr">
        <is>
          <t>1405-0391</t>
        </is>
      </c>
      <c r="B392" s="9" t="inlineStr">
        <is>
          <t>کیهان توسعه البرز</t>
        </is>
      </c>
      <c r="C392" s="9" t="inlineStr">
        <is>
          <t>حقوق و دستمزد</t>
        </is>
      </c>
      <c r="D392" s="9" t="inlineStr">
        <is>
          <t>ارسال/پرداخت مالیات حقوق ماه فروردین</t>
        </is>
      </c>
      <c r="E392" s="9" t="inlineStr">
        <is>
          <t>ماهانه</t>
        </is>
      </c>
      <c r="F392" s="9" t="inlineStr">
        <is>
          <t>فروردین</t>
        </is>
      </c>
      <c r="G392" s="10" t="n">
        <v>46163</v>
      </c>
      <c r="H392" s="9" t="inlineStr">
        <is>
          <t>1405/02/31</t>
        </is>
      </c>
      <c r="I392" s="9" t="n">
        <v>7</v>
      </c>
      <c r="J392" s="10">
        <f>IF(G392="","",G392-I392)</f>
        <v/>
      </c>
      <c r="K392" s="9" t="inlineStr">
        <is>
          <t>خیلی بالا</t>
        </is>
      </c>
      <c r="L392" s="9" t="inlineStr">
        <is>
          <t>باز</t>
        </is>
      </c>
      <c r="M392" s="9">
        <f>IF(D392="","",IF(L392="انجام شده","انجام شده",IF(L392="لغو شده","لغو شده",IF(G392&lt;TODAY(),"عقب‌افتاده",IF(G392=TODAY(),"امروز",IF(G392&lt;=TODAY()+7,"تا ۷ روز",IF(G392&lt;=TODAY()+15,"تا ۱۵ روز","آینده")))))))</f>
        <v/>
      </c>
      <c r="N392" s="9" t="inlineStr"/>
      <c r="O392" s="9" t="n">
        <v>0</v>
      </c>
      <c r="P392" s="10" t="n"/>
      <c r="Q392" s="9" t="inlineStr"/>
      <c r="R392" s="9" t="inlineStr">
        <is>
          <t>پیش‌فرض 1405</t>
        </is>
      </c>
      <c r="S392" s="9" t="inlineStr">
        <is>
          <t>T107</t>
        </is>
      </c>
      <c r="T392" s="9" t="inlineStr">
        <is>
          <t>بله</t>
        </is>
      </c>
    </row>
    <row r="393">
      <c r="A393" s="9" t="inlineStr">
        <is>
          <t>1405-0392</t>
        </is>
      </c>
      <c r="B393" s="9" t="inlineStr">
        <is>
          <t>کیهان توسعه البرز</t>
        </is>
      </c>
      <c r="C393" s="9" t="inlineStr">
        <is>
          <t>بایگانی</t>
        </is>
      </c>
      <c r="D393" s="9" t="inlineStr">
        <is>
          <t>بایگانی مدارک و اسناد ماه فروردین</t>
        </is>
      </c>
      <c r="E393" s="9" t="inlineStr">
        <is>
          <t>ماهانه</t>
        </is>
      </c>
      <c r="F393" s="9" t="inlineStr">
        <is>
          <t>فروردین</t>
        </is>
      </c>
      <c r="G393" s="10" t="n">
        <v>46147</v>
      </c>
      <c r="H393" s="9" t="inlineStr">
        <is>
          <t>1405/02/15</t>
        </is>
      </c>
      <c r="I393" s="9" t="n">
        <v>3</v>
      </c>
      <c r="J393" s="10">
        <f>IF(G393="","",G393-I393)</f>
        <v/>
      </c>
      <c r="K393" s="9" t="inlineStr">
        <is>
          <t>متوسط</t>
        </is>
      </c>
      <c r="L393" s="9" t="inlineStr">
        <is>
          <t>باز</t>
        </is>
      </c>
      <c r="M393" s="9">
        <f>IF(D393="","",IF(L393="انجام شده","انجام شده",IF(L393="لغو شده","لغو شده",IF(G393&lt;TODAY(),"عقب‌افتاده",IF(G393=TODAY(),"امروز",IF(G393&lt;=TODAY()+7,"تا ۷ روز",IF(G393&lt;=TODAY()+15,"تا ۱۵ روز","آینده")))))))</f>
        <v/>
      </c>
      <c r="N393" s="9" t="inlineStr"/>
      <c r="O393" s="9" t="n">
        <v>0</v>
      </c>
      <c r="P393" s="10" t="n"/>
      <c r="Q393" s="9" t="inlineStr"/>
      <c r="R393" s="9" t="inlineStr">
        <is>
          <t>پیش‌فرض 1405</t>
        </is>
      </c>
      <c r="S393" s="9" t="inlineStr">
        <is>
          <t>T108</t>
        </is>
      </c>
      <c r="T393" s="9" t="inlineStr">
        <is>
          <t>بله</t>
        </is>
      </c>
    </row>
    <row r="394">
      <c r="A394" s="9" t="inlineStr">
        <is>
          <t>1405-0393</t>
        </is>
      </c>
      <c r="B394" s="9" t="inlineStr">
        <is>
          <t>کیهان توسعه البرز</t>
        </is>
      </c>
      <c r="C394" s="9" t="inlineStr">
        <is>
          <t>پایان ماه</t>
        </is>
      </c>
      <c r="D394" s="9" t="inlineStr">
        <is>
          <t>مغایرت‌گیری بانکی ماه اردیبهشت</t>
        </is>
      </c>
      <c r="E394" s="9" t="inlineStr">
        <is>
          <t>ماهانه</t>
        </is>
      </c>
      <c r="F394" s="9" t="inlineStr">
        <is>
          <t>اردیبهشت</t>
        </is>
      </c>
      <c r="G394" s="10" t="n">
        <v>46168</v>
      </c>
      <c r="H394" s="9" t="inlineStr">
        <is>
          <t>1405/03/05</t>
        </is>
      </c>
      <c r="I394" s="9" t="n">
        <v>5</v>
      </c>
      <c r="J394" s="10">
        <f>IF(G394="","",G394-I394)</f>
        <v/>
      </c>
      <c r="K394" s="9" t="inlineStr">
        <is>
          <t>بالا</t>
        </is>
      </c>
      <c r="L394" s="9" t="inlineStr">
        <is>
          <t>باز</t>
        </is>
      </c>
      <c r="M394" s="9">
        <f>IF(D394="","",IF(L394="انجام شده","انجام شده",IF(L394="لغو شده","لغو شده",IF(G394&lt;TODAY(),"عقب‌افتاده",IF(G394=TODAY(),"امروز",IF(G394&lt;=TODAY()+7,"تا ۷ روز",IF(G394&lt;=TODAY()+15,"تا ۱۵ روز","آینده")))))))</f>
        <v/>
      </c>
      <c r="N394" s="9" t="inlineStr"/>
      <c r="O394" s="9" t="n">
        <v>0</v>
      </c>
      <c r="P394" s="10" t="n"/>
      <c r="Q394" s="9" t="inlineStr"/>
      <c r="R394" s="9" t="inlineStr">
        <is>
          <t>پیش‌فرض 1405</t>
        </is>
      </c>
      <c r="S394" s="9" t="inlineStr">
        <is>
          <t>T101</t>
        </is>
      </c>
      <c r="T394" s="9" t="inlineStr">
        <is>
          <t>بله</t>
        </is>
      </c>
    </row>
    <row r="395">
      <c r="A395" s="9" t="inlineStr">
        <is>
          <t>1405-0394</t>
        </is>
      </c>
      <c r="B395" s="9" t="inlineStr">
        <is>
          <t>کیهان توسعه البرز</t>
        </is>
      </c>
      <c r="C395" s="9" t="inlineStr">
        <is>
          <t>پایان ماه</t>
        </is>
      </c>
      <c r="D395" s="9" t="inlineStr">
        <is>
          <t>کنترل نهایی اسناد ماه اردیبهشت</t>
        </is>
      </c>
      <c r="E395" s="9" t="inlineStr">
        <is>
          <t>ماهانه</t>
        </is>
      </c>
      <c r="F395" s="9" t="inlineStr">
        <is>
          <t>اردیبهشت</t>
        </is>
      </c>
      <c r="G395" s="10" t="n">
        <v>46170</v>
      </c>
      <c r="H395" s="9" t="inlineStr">
        <is>
          <t>1405/03/07</t>
        </is>
      </c>
      <c r="I395" s="9" t="n">
        <v>5</v>
      </c>
      <c r="J395" s="10">
        <f>IF(G395="","",G395-I395)</f>
        <v/>
      </c>
      <c r="K395" s="9" t="inlineStr">
        <is>
          <t>بالا</t>
        </is>
      </c>
      <c r="L395" s="9" t="inlineStr">
        <is>
          <t>باز</t>
        </is>
      </c>
      <c r="M395" s="9">
        <f>IF(D395="","",IF(L395="انجام شده","انجام شده",IF(L395="لغو شده","لغو شده",IF(G395&lt;TODAY(),"عقب‌افتاده",IF(G395=TODAY(),"امروز",IF(G395&lt;=TODAY()+7,"تا ۷ روز",IF(G395&lt;=TODAY()+15,"تا ۱۵ روز","آینده")))))))</f>
        <v/>
      </c>
      <c r="N395" s="9" t="inlineStr"/>
      <c r="O395" s="9" t="n">
        <v>0</v>
      </c>
      <c r="P395" s="10" t="n"/>
      <c r="Q395" s="9" t="inlineStr"/>
      <c r="R395" s="9" t="inlineStr">
        <is>
          <t>پیش‌فرض 1405</t>
        </is>
      </c>
      <c r="S395" s="9" t="inlineStr">
        <is>
          <t>T102</t>
        </is>
      </c>
      <c r="T395" s="9" t="inlineStr">
        <is>
          <t>بله</t>
        </is>
      </c>
    </row>
    <row r="396">
      <c r="A396" s="9" t="inlineStr">
        <is>
          <t>1405-0395</t>
        </is>
      </c>
      <c r="B396" s="9" t="inlineStr">
        <is>
          <t>کیهان توسعه البرز</t>
        </is>
      </c>
      <c r="C396" s="9" t="inlineStr">
        <is>
          <t>پایان ماه</t>
        </is>
      </c>
      <c r="D396" s="9" t="inlineStr">
        <is>
          <t>بستن حساب‌های ماه اردیبهشت و کنترل مانده‌ها</t>
        </is>
      </c>
      <c r="E396" s="9" t="inlineStr">
        <is>
          <t>ماهانه</t>
        </is>
      </c>
      <c r="F396" s="9" t="inlineStr">
        <is>
          <t>اردیبهشت</t>
        </is>
      </c>
      <c r="G396" s="10" t="n">
        <v>46173</v>
      </c>
      <c r="H396" s="9" t="inlineStr">
        <is>
          <t>1405/03/10</t>
        </is>
      </c>
      <c r="I396" s="9" t="n">
        <v>7</v>
      </c>
      <c r="J396" s="10">
        <f>IF(G396="","",G396-I396)</f>
        <v/>
      </c>
      <c r="K396" s="9" t="inlineStr">
        <is>
          <t>بالا</t>
        </is>
      </c>
      <c r="L396" s="9" t="inlineStr">
        <is>
          <t>باز</t>
        </is>
      </c>
      <c r="M396" s="9">
        <f>IF(D396="","",IF(L396="انجام شده","انجام شده",IF(L396="لغو شده","لغو شده",IF(G396&lt;TODAY(),"عقب‌افتاده",IF(G396=TODAY(),"امروز",IF(G396&lt;=TODAY()+7,"تا ۷ روز",IF(G396&lt;=TODAY()+15,"تا ۱۵ روز","آینده")))))))</f>
        <v/>
      </c>
      <c r="N396" s="9" t="inlineStr"/>
      <c r="O396" s="9" t="n">
        <v>0</v>
      </c>
      <c r="P396" s="10" t="n"/>
      <c r="Q396" s="9" t="inlineStr"/>
      <c r="R396" s="9" t="inlineStr">
        <is>
          <t>پیش‌فرض 1405</t>
        </is>
      </c>
      <c r="S396" s="9" t="inlineStr">
        <is>
          <t>T103</t>
        </is>
      </c>
      <c r="T396" s="9" t="inlineStr">
        <is>
          <t>بله</t>
        </is>
      </c>
    </row>
    <row r="397">
      <c r="A397" s="9" t="inlineStr">
        <is>
          <t>1405-0396</t>
        </is>
      </c>
      <c r="B397" s="9" t="inlineStr">
        <is>
          <t>کیهان توسعه البرز</t>
        </is>
      </c>
      <c r="C397" s="9" t="inlineStr">
        <is>
          <t>گزارش</t>
        </is>
      </c>
      <c r="D397" s="9" t="inlineStr">
        <is>
          <t>تهیه گزارش مدیریت ماه اردیبهشت</t>
        </is>
      </c>
      <c r="E397" s="9" t="inlineStr">
        <is>
          <t>ماهانه</t>
        </is>
      </c>
      <c r="F397" s="9" t="inlineStr">
        <is>
          <t>اردیبهشت</t>
        </is>
      </c>
      <c r="G397" s="10" t="n">
        <v>46173</v>
      </c>
      <c r="H397" s="9" t="inlineStr">
        <is>
          <t>1405/03/10</t>
        </is>
      </c>
      <c r="I397" s="9" t="n">
        <v>5</v>
      </c>
      <c r="J397" s="10">
        <f>IF(G397="","",G397-I397)</f>
        <v/>
      </c>
      <c r="K397" s="9" t="inlineStr">
        <is>
          <t>متوسط</t>
        </is>
      </c>
      <c r="L397" s="9" t="inlineStr">
        <is>
          <t>باز</t>
        </is>
      </c>
      <c r="M397" s="9">
        <f>IF(D397="","",IF(L397="انجام شده","انجام شده",IF(L397="لغو شده","لغو شده",IF(G397&lt;TODAY(),"عقب‌افتاده",IF(G397=TODAY(),"امروز",IF(G397&lt;=TODAY()+7,"تا ۷ روز",IF(G397&lt;=TODAY()+15,"تا ۱۵ روز","آینده")))))))</f>
        <v/>
      </c>
      <c r="N397" s="9" t="inlineStr"/>
      <c r="O397" s="9" t="n">
        <v>0</v>
      </c>
      <c r="P397" s="10" t="n"/>
      <c r="Q397" s="9" t="inlineStr"/>
      <c r="R397" s="9" t="inlineStr">
        <is>
          <t>پیش‌فرض 1405</t>
        </is>
      </c>
      <c r="S397" s="9" t="inlineStr">
        <is>
          <t>T104</t>
        </is>
      </c>
      <c r="T397" s="9" t="inlineStr">
        <is>
          <t>بله</t>
        </is>
      </c>
    </row>
    <row r="398">
      <c r="A398" s="9" t="inlineStr">
        <is>
          <t>1405-0397</t>
        </is>
      </c>
      <c r="B398" s="9" t="inlineStr">
        <is>
          <t>کیهان توسعه البرز</t>
        </is>
      </c>
      <c r="C398" s="9" t="inlineStr">
        <is>
          <t>حقوق و دستمزد</t>
        </is>
      </c>
      <c r="D398" s="9" t="inlineStr">
        <is>
          <t>محاسبه حقوق و دستمزد ماه اردیبهشت</t>
        </is>
      </c>
      <c r="E398" s="9" t="inlineStr">
        <is>
          <t>ماهانه</t>
        </is>
      </c>
      <c r="F398" s="9" t="inlineStr">
        <is>
          <t>اردیبهشت</t>
        </is>
      </c>
      <c r="G398" s="10" t="n">
        <v>46160</v>
      </c>
      <c r="H398" s="9" t="inlineStr">
        <is>
          <t>1405/02/28</t>
        </is>
      </c>
      <c r="I398" s="9" t="n">
        <v>5</v>
      </c>
      <c r="J398" s="10">
        <f>IF(G398="","",G398-I398)</f>
        <v/>
      </c>
      <c r="K398" s="9" t="inlineStr">
        <is>
          <t>بالا</t>
        </is>
      </c>
      <c r="L398" s="9" t="inlineStr">
        <is>
          <t>باز</t>
        </is>
      </c>
      <c r="M398" s="9">
        <f>IF(D398="","",IF(L398="انجام شده","انجام شده",IF(L398="لغو شده","لغو شده",IF(G398&lt;TODAY(),"عقب‌افتاده",IF(G398=TODAY(),"امروز",IF(G398&lt;=TODAY()+7,"تا ۷ روز",IF(G398&lt;=TODAY()+15,"تا ۱۵ روز","آینده")))))))</f>
        <v/>
      </c>
      <c r="N398" s="9" t="inlineStr"/>
      <c r="O398" s="9" t="n">
        <v>0</v>
      </c>
      <c r="P398" s="10" t="n"/>
      <c r="Q398" s="9" t="inlineStr"/>
      <c r="R398" s="9" t="inlineStr">
        <is>
          <t>پیش‌فرض 1405</t>
        </is>
      </c>
      <c r="S398" s="9" t="inlineStr">
        <is>
          <t>T105</t>
        </is>
      </c>
      <c r="T398" s="9" t="inlineStr">
        <is>
          <t>بله</t>
        </is>
      </c>
    </row>
    <row r="399">
      <c r="A399" s="9" t="inlineStr">
        <is>
          <t>1405-0398</t>
        </is>
      </c>
      <c r="B399" s="9" t="inlineStr">
        <is>
          <t>کیهان توسعه البرز</t>
        </is>
      </c>
      <c r="C399" s="9" t="inlineStr">
        <is>
          <t>حقوق و دستمزد</t>
        </is>
      </c>
      <c r="D399" s="9" t="inlineStr">
        <is>
          <t>ارسال/پرداخت لیست بیمه ماه اردیبهشت</t>
        </is>
      </c>
      <c r="E399" s="9" t="inlineStr">
        <is>
          <t>ماهانه</t>
        </is>
      </c>
      <c r="F399" s="9" t="inlineStr">
        <is>
          <t>اردیبهشت</t>
        </is>
      </c>
      <c r="G399" s="10" t="n">
        <v>46194</v>
      </c>
      <c r="H399" s="9" t="inlineStr">
        <is>
          <t>1405/03/31</t>
        </is>
      </c>
      <c r="I399" s="9" t="n">
        <v>7</v>
      </c>
      <c r="J399" s="10">
        <f>IF(G399="","",G399-I399)</f>
        <v/>
      </c>
      <c r="K399" s="9" t="inlineStr">
        <is>
          <t>خیلی بالا</t>
        </is>
      </c>
      <c r="L399" s="9" t="inlineStr">
        <is>
          <t>باز</t>
        </is>
      </c>
      <c r="M399" s="9">
        <f>IF(D399="","",IF(L399="انجام شده","انجام شده",IF(L399="لغو شده","لغو شده",IF(G399&lt;TODAY(),"عقب‌افتاده",IF(G399=TODAY(),"امروز",IF(G399&lt;=TODAY()+7,"تا ۷ روز",IF(G399&lt;=TODAY()+15,"تا ۱۵ روز","آینده")))))))</f>
        <v/>
      </c>
      <c r="N399" s="9" t="inlineStr"/>
      <c r="O399" s="9" t="n">
        <v>0</v>
      </c>
      <c r="P399" s="10" t="n"/>
      <c r="Q399" s="9" t="inlineStr"/>
      <c r="R399" s="9" t="inlineStr">
        <is>
          <t>پیش‌فرض 1405</t>
        </is>
      </c>
      <c r="S399" s="9" t="inlineStr">
        <is>
          <t>T106</t>
        </is>
      </c>
      <c r="T399" s="9" t="inlineStr">
        <is>
          <t>بله</t>
        </is>
      </c>
    </row>
    <row r="400">
      <c r="A400" s="9" t="inlineStr">
        <is>
          <t>1405-0399</t>
        </is>
      </c>
      <c r="B400" s="9" t="inlineStr">
        <is>
          <t>کیهان توسعه البرز</t>
        </is>
      </c>
      <c r="C400" s="9" t="inlineStr">
        <is>
          <t>حقوق و دستمزد</t>
        </is>
      </c>
      <c r="D400" s="9" t="inlineStr">
        <is>
          <t>ارسال/پرداخت مالیات حقوق ماه اردیبهشت</t>
        </is>
      </c>
      <c r="E400" s="9" t="inlineStr">
        <is>
          <t>ماهانه</t>
        </is>
      </c>
      <c r="F400" s="9" t="inlineStr">
        <is>
          <t>اردیبهشت</t>
        </is>
      </c>
      <c r="G400" s="10" t="n">
        <v>46194</v>
      </c>
      <c r="H400" s="9" t="inlineStr">
        <is>
          <t>1405/03/31</t>
        </is>
      </c>
      <c r="I400" s="9" t="n">
        <v>7</v>
      </c>
      <c r="J400" s="10">
        <f>IF(G400="","",G400-I400)</f>
        <v/>
      </c>
      <c r="K400" s="9" t="inlineStr">
        <is>
          <t>خیلی بالا</t>
        </is>
      </c>
      <c r="L400" s="9" t="inlineStr">
        <is>
          <t>باز</t>
        </is>
      </c>
      <c r="M400" s="9">
        <f>IF(D400="","",IF(L400="انجام شده","انجام شده",IF(L400="لغو شده","لغو شده",IF(G400&lt;TODAY(),"عقب‌افتاده",IF(G400=TODAY(),"امروز",IF(G400&lt;=TODAY()+7,"تا ۷ روز",IF(G400&lt;=TODAY()+15,"تا ۱۵ روز","آینده")))))))</f>
        <v/>
      </c>
      <c r="N400" s="9" t="inlineStr"/>
      <c r="O400" s="9" t="n">
        <v>0</v>
      </c>
      <c r="P400" s="10" t="n"/>
      <c r="Q400" s="9" t="inlineStr"/>
      <c r="R400" s="9" t="inlineStr">
        <is>
          <t>پیش‌فرض 1405</t>
        </is>
      </c>
      <c r="S400" s="9" t="inlineStr">
        <is>
          <t>T107</t>
        </is>
      </c>
      <c r="T400" s="9" t="inlineStr">
        <is>
          <t>بله</t>
        </is>
      </c>
    </row>
    <row r="401">
      <c r="A401" s="9" t="inlineStr">
        <is>
          <t>1405-0400</t>
        </is>
      </c>
      <c r="B401" s="9" t="inlineStr">
        <is>
          <t>کیهان توسعه البرز</t>
        </is>
      </c>
      <c r="C401" s="9" t="inlineStr">
        <is>
          <t>بایگانی</t>
        </is>
      </c>
      <c r="D401" s="9" t="inlineStr">
        <is>
          <t>بایگانی مدارک و اسناد ماه اردیبهشت</t>
        </is>
      </c>
      <c r="E401" s="9" t="inlineStr">
        <is>
          <t>ماهانه</t>
        </is>
      </c>
      <c r="F401" s="9" t="inlineStr">
        <is>
          <t>اردیبهشت</t>
        </is>
      </c>
      <c r="G401" s="10" t="n">
        <v>46178</v>
      </c>
      <c r="H401" s="9" t="inlineStr">
        <is>
          <t>1405/03/15</t>
        </is>
      </c>
      <c r="I401" s="9" t="n">
        <v>3</v>
      </c>
      <c r="J401" s="10">
        <f>IF(G401="","",G401-I401)</f>
        <v/>
      </c>
      <c r="K401" s="9" t="inlineStr">
        <is>
          <t>متوسط</t>
        </is>
      </c>
      <c r="L401" s="9" t="inlineStr">
        <is>
          <t>باز</t>
        </is>
      </c>
      <c r="M401" s="9">
        <f>IF(D401="","",IF(L401="انجام شده","انجام شده",IF(L401="لغو شده","لغو شده",IF(G401&lt;TODAY(),"عقب‌افتاده",IF(G401=TODAY(),"امروز",IF(G401&lt;=TODAY()+7,"تا ۷ روز",IF(G401&lt;=TODAY()+15,"تا ۱۵ روز","آینده")))))))</f>
        <v/>
      </c>
      <c r="N401" s="9" t="inlineStr"/>
      <c r="O401" s="9" t="n">
        <v>0</v>
      </c>
      <c r="P401" s="10" t="n"/>
      <c r="Q401" s="9" t="inlineStr"/>
      <c r="R401" s="9" t="inlineStr">
        <is>
          <t>پیش‌فرض 1405</t>
        </is>
      </c>
      <c r="S401" s="9" t="inlineStr">
        <is>
          <t>T108</t>
        </is>
      </c>
      <c r="T401" s="9" t="inlineStr">
        <is>
          <t>بله</t>
        </is>
      </c>
    </row>
    <row r="402">
      <c r="A402" s="9" t="inlineStr">
        <is>
          <t>1405-0401</t>
        </is>
      </c>
      <c r="B402" s="9" t="inlineStr">
        <is>
          <t>کیهان توسعه البرز</t>
        </is>
      </c>
      <c r="C402" s="9" t="inlineStr">
        <is>
          <t>پایان ماه</t>
        </is>
      </c>
      <c r="D402" s="9" t="inlineStr">
        <is>
          <t>مغایرت‌گیری بانکی ماه خرداد</t>
        </is>
      </c>
      <c r="E402" s="9" t="inlineStr">
        <is>
          <t>ماهانه</t>
        </is>
      </c>
      <c r="F402" s="9" t="inlineStr">
        <is>
          <t>خرداد</t>
        </is>
      </c>
      <c r="G402" s="10" t="n">
        <v>46199</v>
      </c>
      <c r="H402" s="9" t="inlineStr">
        <is>
          <t>1405/04/05</t>
        </is>
      </c>
      <c r="I402" s="9" t="n">
        <v>5</v>
      </c>
      <c r="J402" s="10">
        <f>IF(G402="","",G402-I402)</f>
        <v/>
      </c>
      <c r="K402" s="9" t="inlineStr">
        <is>
          <t>بالا</t>
        </is>
      </c>
      <c r="L402" s="9" t="inlineStr">
        <is>
          <t>باز</t>
        </is>
      </c>
      <c r="M402" s="9">
        <f>IF(D402="","",IF(L402="انجام شده","انجام شده",IF(L402="لغو شده","لغو شده",IF(G402&lt;TODAY(),"عقب‌افتاده",IF(G402=TODAY(),"امروز",IF(G402&lt;=TODAY()+7,"تا ۷ روز",IF(G402&lt;=TODAY()+15,"تا ۱۵ روز","آینده")))))))</f>
        <v/>
      </c>
      <c r="N402" s="9" t="inlineStr"/>
      <c r="O402" s="9" t="n">
        <v>0</v>
      </c>
      <c r="P402" s="10" t="n"/>
      <c r="Q402" s="9" t="inlineStr"/>
      <c r="R402" s="9" t="inlineStr">
        <is>
          <t>پیش‌فرض 1405</t>
        </is>
      </c>
      <c r="S402" s="9" t="inlineStr">
        <is>
          <t>T101</t>
        </is>
      </c>
      <c r="T402" s="9" t="inlineStr">
        <is>
          <t>بله</t>
        </is>
      </c>
    </row>
    <row r="403">
      <c r="A403" s="9" t="inlineStr">
        <is>
          <t>1405-0402</t>
        </is>
      </c>
      <c r="B403" s="9" t="inlineStr">
        <is>
          <t>کیهان توسعه البرز</t>
        </is>
      </c>
      <c r="C403" s="9" t="inlineStr">
        <is>
          <t>پایان ماه</t>
        </is>
      </c>
      <c r="D403" s="9" t="inlineStr">
        <is>
          <t>کنترل نهایی اسناد ماه خرداد</t>
        </is>
      </c>
      <c r="E403" s="9" t="inlineStr">
        <is>
          <t>ماهانه</t>
        </is>
      </c>
      <c r="F403" s="9" t="inlineStr">
        <is>
          <t>خرداد</t>
        </is>
      </c>
      <c r="G403" s="10" t="n">
        <v>46201</v>
      </c>
      <c r="H403" s="9" t="inlineStr">
        <is>
          <t>1405/04/07</t>
        </is>
      </c>
      <c r="I403" s="9" t="n">
        <v>5</v>
      </c>
      <c r="J403" s="10">
        <f>IF(G403="","",G403-I403)</f>
        <v/>
      </c>
      <c r="K403" s="9" t="inlineStr">
        <is>
          <t>بالا</t>
        </is>
      </c>
      <c r="L403" s="9" t="inlineStr">
        <is>
          <t>باز</t>
        </is>
      </c>
      <c r="M403" s="9">
        <f>IF(D403="","",IF(L403="انجام شده","انجام شده",IF(L403="لغو شده","لغو شده",IF(G403&lt;TODAY(),"عقب‌افتاده",IF(G403=TODAY(),"امروز",IF(G403&lt;=TODAY()+7,"تا ۷ روز",IF(G403&lt;=TODAY()+15,"تا ۱۵ روز","آینده")))))))</f>
        <v/>
      </c>
      <c r="N403" s="9" t="inlineStr"/>
      <c r="O403" s="9" t="n">
        <v>0</v>
      </c>
      <c r="P403" s="10" t="n"/>
      <c r="Q403" s="9" t="inlineStr"/>
      <c r="R403" s="9" t="inlineStr">
        <is>
          <t>پیش‌فرض 1405</t>
        </is>
      </c>
      <c r="S403" s="9" t="inlineStr">
        <is>
          <t>T102</t>
        </is>
      </c>
      <c r="T403" s="9" t="inlineStr">
        <is>
          <t>بله</t>
        </is>
      </c>
    </row>
    <row r="404">
      <c r="A404" s="9" t="inlineStr">
        <is>
          <t>1405-0403</t>
        </is>
      </c>
      <c r="B404" s="9" t="inlineStr">
        <is>
          <t>کیهان توسعه البرز</t>
        </is>
      </c>
      <c r="C404" s="9" t="inlineStr">
        <is>
          <t>پایان ماه</t>
        </is>
      </c>
      <c r="D404" s="9" t="inlineStr">
        <is>
          <t>بستن حساب‌های ماه خرداد و کنترل مانده‌ها</t>
        </is>
      </c>
      <c r="E404" s="9" t="inlineStr">
        <is>
          <t>ماهانه</t>
        </is>
      </c>
      <c r="F404" s="9" t="inlineStr">
        <is>
          <t>خرداد</t>
        </is>
      </c>
      <c r="G404" s="10" t="n">
        <v>46204</v>
      </c>
      <c r="H404" s="9" t="inlineStr">
        <is>
          <t>1405/04/10</t>
        </is>
      </c>
      <c r="I404" s="9" t="n">
        <v>7</v>
      </c>
      <c r="J404" s="10">
        <f>IF(G404="","",G404-I404)</f>
        <v/>
      </c>
      <c r="K404" s="9" t="inlineStr">
        <is>
          <t>بالا</t>
        </is>
      </c>
      <c r="L404" s="9" t="inlineStr">
        <is>
          <t>باز</t>
        </is>
      </c>
      <c r="M404" s="9">
        <f>IF(D404="","",IF(L404="انجام شده","انجام شده",IF(L404="لغو شده","لغو شده",IF(G404&lt;TODAY(),"عقب‌افتاده",IF(G404=TODAY(),"امروز",IF(G404&lt;=TODAY()+7,"تا ۷ روز",IF(G404&lt;=TODAY()+15,"تا ۱۵ روز","آینده")))))))</f>
        <v/>
      </c>
      <c r="N404" s="9" t="inlineStr"/>
      <c r="O404" s="9" t="n">
        <v>0</v>
      </c>
      <c r="P404" s="10" t="n"/>
      <c r="Q404" s="9" t="inlineStr"/>
      <c r="R404" s="9" t="inlineStr">
        <is>
          <t>پیش‌فرض 1405</t>
        </is>
      </c>
      <c r="S404" s="9" t="inlineStr">
        <is>
          <t>T103</t>
        </is>
      </c>
      <c r="T404" s="9" t="inlineStr">
        <is>
          <t>بله</t>
        </is>
      </c>
    </row>
    <row r="405">
      <c r="A405" s="9" t="inlineStr">
        <is>
          <t>1405-0404</t>
        </is>
      </c>
      <c r="B405" s="9" t="inlineStr">
        <is>
          <t>کیهان توسعه البرز</t>
        </is>
      </c>
      <c r="C405" s="9" t="inlineStr">
        <is>
          <t>گزارش</t>
        </is>
      </c>
      <c r="D405" s="9" t="inlineStr">
        <is>
          <t>تهیه گزارش مدیریت ماه خرداد</t>
        </is>
      </c>
      <c r="E405" s="9" t="inlineStr">
        <is>
          <t>ماهانه</t>
        </is>
      </c>
      <c r="F405" s="9" t="inlineStr">
        <is>
          <t>خرداد</t>
        </is>
      </c>
      <c r="G405" s="10" t="n">
        <v>46204</v>
      </c>
      <c r="H405" s="9" t="inlineStr">
        <is>
          <t>1405/04/10</t>
        </is>
      </c>
      <c r="I405" s="9" t="n">
        <v>5</v>
      </c>
      <c r="J405" s="10">
        <f>IF(G405="","",G405-I405)</f>
        <v/>
      </c>
      <c r="K405" s="9" t="inlineStr">
        <is>
          <t>متوسط</t>
        </is>
      </c>
      <c r="L405" s="9" t="inlineStr">
        <is>
          <t>باز</t>
        </is>
      </c>
      <c r="M405" s="9">
        <f>IF(D405="","",IF(L405="انجام شده","انجام شده",IF(L405="لغو شده","لغو شده",IF(G405&lt;TODAY(),"عقب‌افتاده",IF(G405=TODAY(),"امروز",IF(G405&lt;=TODAY()+7,"تا ۷ روز",IF(G405&lt;=TODAY()+15,"تا ۱۵ روز","آینده")))))))</f>
        <v/>
      </c>
      <c r="N405" s="9" t="inlineStr"/>
      <c r="O405" s="9" t="n">
        <v>0</v>
      </c>
      <c r="P405" s="10" t="n"/>
      <c r="Q405" s="9" t="inlineStr"/>
      <c r="R405" s="9" t="inlineStr">
        <is>
          <t>پیش‌فرض 1405</t>
        </is>
      </c>
      <c r="S405" s="9" t="inlineStr">
        <is>
          <t>T104</t>
        </is>
      </c>
      <c r="T405" s="9" t="inlineStr">
        <is>
          <t>بله</t>
        </is>
      </c>
    </row>
    <row r="406">
      <c r="A406" s="9" t="inlineStr">
        <is>
          <t>1405-0405</t>
        </is>
      </c>
      <c r="B406" s="9" t="inlineStr">
        <is>
          <t>کیهان توسعه البرز</t>
        </is>
      </c>
      <c r="C406" s="9" t="inlineStr">
        <is>
          <t>حقوق و دستمزد</t>
        </is>
      </c>
      <c r="D406" s="9" t="inlineStr">
        <is>
          <t>محاسبه حقوق و دستمزد ماه خرداد</t>
        </is>
      </c>
      <c r="E406" s="9" t="inlineStr">
        <is>
          <t>ماهانه</t>
        </is>
      </c>
      <c r="F406" s="9" t="inlineStr">
        <is>
          <t>خرداد</t>
        </is>
      </c>
      <c r="G406" s="10" t="n">
        <v>46191</v>
      </c>
      <c r="H406" s="9" t="inlineStr">
        <is>
          <t>1405/03/28</t>
        </is>
      </c>
      <c r="I406" s="9" t="n">
        <v>5</v>
      </c>
      <c r="J406" s="10">
        <f>IF(G406="","",G406-I406)</f>
        <v/>
      </c>
      <c r="K406" s="9" t="inlineStr">
        <is>
          <t>بالا</t>
        </is>
      </c>
      <c r="L406" s="9" t="inlineStr">
        <is>
          <t>باز</t>
        </is>
      </c>
      <c r="M406" s="9">
        <f>IF(D406="","",IF(L406="انجام شده","انجام شده",IF(L406="لغو شده","لغو شده",IF(G406&lt;TODAY(),"عقب‌افتاده",IF(G406=TODAY(),"امروز",IF(G406&lt;=TODAY()+7,"تا ۷ روز",IF(G406&lt;=TODAY()+15,"تا ۱۵ روز","آینده")))))))</f>
        <v/>
      </c>
      <c r="N406" s="9" t="inlineStr"/>
      <c r="O406" s="9" t="n">
        <v>0</v>
      </c>
      <c r="P406" s="10" t="n"/>
      <c r="Q406" s="9" t="inlineStr"/>
      <c r="R406" s="9" t="inlineStr">
        <is>
          <t>پیش‌فرض 1405</t>
        </is>
      </c>
      <c r="S406" s="9" t="inlineStr">
        <is>
          <t>T105</t>
        </is>
      </c>
      <c r="T406" s="9" t="inlineStr">
        <is>
          <t>بله</t>
        </is>
      </c>
    </row>
    <row r="407">
      <c r="A407" s="9" t="inlineStr">
        <is>
          <t>1405-0406</t>
        </is>
      </c>
      <c r="B407" s="9" t="inlineStr">
        <is>
          <t>کیهان توسعه البرز</t>
        </is>
      </c>
      <c r="C407" s="9" t="inlineStr">
        <is>
          <t>حقوق و دستمزد</t>
        </is>
      </c>
      <c r="D407" s="9" t="inlineStr">
        <is>
          <t>ارسال/پرداخت لیست بیمه ماه خرداد</t>
        </is>
      </c>
      <c r="E407" s="9" t="inlineStr">
        <is>
          <t>ماهانه</t>
        </is>
      </c>
      <c r="F407" s="9" t="inlineStr">
        <is>
          <t>خرداد</t>
        </is>
      </c>
      <c r="G407" s="10" t="n">
        <v>46225</v>
      </c>
      <c r="H407" s="9" t="inlineStr">
        <is>
          <t>1405/04/31</t>
        </is>
      </c>
      <c r="I407" s="9" t="n">
        <v>7</v>
      </c>
      <c r="J407" s="10">
        <f>IF(G407="","",G407-I407)</f>
        <v/>
      </c>
      <c r="K407" s="9" t="inlineStr">
        <is>
          <t>خیلی بالا</t>
        </is>
      </c>
      <c r="L407" s="9" t="inlineStr">
        <is>
          <t>باز</t>
        </is>
      </c>
      <c r="M407" s="9">
        <f>IF(D407="","",IF(L407="انجام شده","انجام شده",IF(L407="لغو شده","لغو شده",IF(G407&lt;TODAY(),"عقب‌افتاده",IF(G407=TODAY(),"امروز",IF(G407&lt;=TODAY()+7,"تا ۷ روز",IF(G407&lt;=TODAY()+15,"تا ۱۵ روز","آینده")))))))</f>
        <v/>
      </c>
      <c r="N407" s="9" t="inlineStr"/>
      <c r="O407" s="9" t="n">
        <v>0</v>
      </c>
      <c r="P407" s="10" t="n"/>
      <c r="Q407" s="9" t="inlineStr"/>
      <c r="R407" s="9" t="inlineStr">
        <is>
          <t>پیش‌فرض 1405</t>
        </is>
      </c>
      <c r="S407" s="9" t="inlineStr">
        <is>
          <t>T106</t>
        </is>
      </c>
      <c r="T407" s="9" t="inlineStr">
        <is>
          <t>بله</t>
        </is>
      </c>
    </row>
    <row r="408">
      <c r="A408" s="9" t="inlineStr">
        <is>
          <t>1405-0407</t>
        </is>
      </c>
      <c r="B408" s="9" t="inlineStr">
        <is>
          <t>کیهان توسعه البرز</t>
        </is>
      </c>
      <c r="C408" s="9" t="inlineStr">
        <is>
          <t>حقوق و دستمزد</t>
        </is>
      </c>
      <c r="D408" s="9" t="inlineStr">
        <is>
          <t>ارسال/پرداخت مالیات حقوق ماه خرداد</t>
        </is>
      </c>
      <c r="E408" s="9" t="inlineStr">
        <is>
          <t>ماهانه</t>
        </is>
      </c>
      <c r="F408" s="9" t="inlineStr">
        <is>
          <t>خرداد</t>
        </is>
      </c>
      <c r="G408" s="10" t="n">
        <v>46225</v>
      </c>
      <c r="H408" s="9" t="inlineStr">
        <is>
          <t>1405/04/31</t>
        </is>
      </c>
      <c r="I408" s="9" t="n">
        <v>7</v>
      </c>
      <c r="J408" s="10">
        <f>IF(G408="","",G408-I408)</f>
        <v/>
      </c>
      <c r="K408" s="9" t="inlineStr">
        <is>
          <t>خیلی بالا</t>
        </is>
      </c>
      <c r="L408" s="9" t="inlineStr">
        <is>
          <t>باز</t>
        </is>
      </c>
      <c r="M408" s="9">
        <f>IF(D408="","",IF(L408="انجام شده","انجام شده",IF(L408="لغو شده","لغو شده",IF(G408&lt;TODAY(),"عقب‌افتاده",IF(G408=TODAY(),"امروز",IF(G408&lt;=TODAY()+7,"تا ۷ روز",IF(G408&lt;=TODAY()+15,"تا ۱۵ روز","آینده")))))))</f>
        <v/>
      </c>
      <c r="N408" s="9" t="inlineStr"/>
      <c r="O408" s="9" t="n">
        <v>0</v>
      </c>
      <c r="P408" s="10" t="n"/>
      <c r="Q408" s="9" t="inlineStr"/>
      <c r="R408" s="9" t="inlineStr">
        <is>
          <t>پیش‌فرض 1405</t>
        </is>
      </c>
      <c r="S408" s="9" t="inlineStr">
        <is>
          <t>T107</t>
        </is>
      </c>
      <c r="T408" s="9" t="inlineStr">
        <is>
          <t>بله</t>
        </is>
      </c>
    </row>
    <row r="409">
      <c r="A409" s="9" t="inlineStr">
        <is>
          <t>1405-0408</t>
        </is>
      </c>
      <c r="B409" s="9" t="inlineStr">
        <is>
          <t>کیهان توسعه البرز</t>
        </is>
      </c>
      <c r="C409" s="9" t="inlineStr">
        <is>
          <t>بایگانی</t>
        </is>
      </c>
      <c r="D409" s="9" t="inlineStr">
        <is>
          <t>بایگانی مدارک و اسناد ماه خرداد</t>
        </is>
      </c>
      <c r="E409" s="9" t="inlineStr">
        <is>
          <t>ماهانه</t>
        </is>
      </c>
      <c r="F409" s="9" t="inlineStr">
        <is>
          <t>خرداد</t>
        </is>
      </c>
      <c r="G409" s="10" t="n">
        <v>46209</v>
      </c>
      <c r="H409" s="9" t="inlineStr">
        <is>
          <t>1405/04/15</t>
        </is>
      </c>
      <c r="I409" s="9" t="n">
        <v>3</v>
      </c>
      <c r="J409" s="10">
        <f>IF(G409="","",G409-I409)</f>
        <v/>
      </c>
      <c r="K409" s="9" t="inlineStr">
        <is>
          <t>متوسط</t>
        </is>
      </c>
      <c r="L409" s="9" t="inlineStr">
        <is>
          <t>باز</t>
        </is>
      </c>
      <c r="M409" s="9">
        <f>IF(D409="","",IF(L409="انجام شده","انجام شده",IF(L409="لغو شده","لغو شده",IF(G409&lt;TODAY(),"عقب‌افتاده",IF(G409=TODAY(),"امروز",IF(G409&lt;=TODAY()+7,"تا ۷ روز",IF(G409&lt;=TODAY()+15,"تا ۱۵ روز","آینده")))))))</f>
        <v/>
      </c>
      <c r="N409" s="9" t="inlineStr"/>
      <c r="O409" s="9" t="n">
        <v>0</v>
      </c>
      <c r="P409" s="10" t="n"/>
      <c r="Q409" s="9" t="inlineStr"/>
      <c r="R409" s="9" t="inlineStr">
        <is>
          <t>پیش‌فرض 1405</t>
        </is>
      </c>
      <c r="S409" s="9" t="inlineStr">
        <is>
          <t>T108</t>
        </is>
      </c>
      <c r="T409" s="9" t="inlineStr">
        <is>
          <t>بله</t>
        </is>
      </c>
    </row>
    <row r="410">
      <c r="A410" s="9" t="inlineStr">
        <is>
          <t>1405-0409</t>
        </is>
      </c>
      <c r="B410" s="9" t="inlineStr">
        <is>
          <t>کیهان توسعه البرز</t>
        </is>
      </c>
      <c r="C410" s="9" t="inlineStr">
        <is>
          <t>پایان ماه</t>
        </is>
      </c>
      <c r="D410" s="9" t="inlineStr">
        <is>
          <t>مغایرت‌گیری بانکی ماه تیر</t>
        </is>
      </c>
      <c r="E410" s="9" t="inlineStr">
        <is>
          <t>ماهانه</t>
        </is>
      </c>
      <c r="F410" s="9" t="inlineStr">
        <is>
          <t>تیر</t>
        </is>
      </c>
      <c r="G410" s="10" t="n">
        <v>46230</v>
      </c>
      <c r="H410" s="9" t="inlineStr">
        <is>
          <t>1405/05/05</t>
        </is>
      </c>
      <c r="I410" s="9" t="n">
        <v>5</v>
      </c>
      <c r="J410" s="10">
        <f>IF(G410="","",G410-I410)</f>
        <v/>
      </c>
      <c r="K410" s="9" t="inlineStr">
        <is>
          <t>بالا</t>
        </is>
      </c>
      <c r="L410" s="9" t="inlineStr">
        <is>
          <t>باز</t>
        </is>
      </c>
      <c r="M410" s="9">
        <f>IF(D410="","",IF(L410="انجام شده","انجام شده",IF(L410="لغو شده","لغو شده",IF(G410&lt;TODAY(),"عقب‌افتاده",IF(G410=TODAY(),"امروز",IF(G410&lt;=TODAY()+7,"تا ۷ روز",IF(G410&lt;=TODAY()+15,"تا ۱۵ روز","آینده")))))))</f>
        <v/>
      </c>
      <c r="N410" s="9" t="inlineStr"/>
      <c r="O410" s="9" t="n">
        <v>0</v>
      </c>
      <c r="P410" s="10" t="n"/>
      <c r="Q410" s="9" t="inlineStr"/>
      <c r="R410" s="9" t="inlineStr">
        <is>
          <t>پیش‌فرض 1405</t>
        </is>
      </c>
      <c r="S410" s="9" t="inlineStr">
        <is>
          <t>T101</t>
        </is>
      </c>
      <c r="T410" s="9" t="inlineStr">
        <is>
          <t>بله</t>
        </is>
      </c>
    </row>
    <row r="411">
      <c r="A411" s="9" t="inlineStr">
        <is>
          <t>1405-0410</t>
        </is>
      </c>
      <c r="B411" s="9" t="inlineStr">
        <is>
          <t>کیهان توسعه البرز</t>
        </is>
      </c>
      <c r="C411" s="9" t="inlineStr">
        <is>
          <t>پایان ماه</t>
        </is>
      </c>
      <c r="D411" s="9" t="inlineStr">
        <is>
          <t>کنترل نهایی اسناد ماه تیر</t>
        </is>
      </c>
      <c r="E411" s="9" t="inlineStr">
        <is>
          <t>ماهانه</t>
        </is>
      </c>
      <c r="F411" s="9" t="inlineStr">
        <is>
          <t>تیر</t>
        </is>
      </c>
      <c r="G411" s="10" t="n">
        <v>46232</v>
      </c>
      <c r="H411" s="9" t="inlineStr">
        <is>
          <t>1405/05/07</t>
        </is>
      </c>
      <c r="I411" s="9" t="n">
        <v>5</v>
      </c>
      <c r="J411" s="10">
        <f>IF(G411="","",G411-I411)</f>
        <v/>
      </c>
      <c r="K411" s="9" t="inlineStr">
        <is>
          <t>بالا</t>
        </is>
      </c>
      <c r="L411" s="9" t="inlineStr">
        <is>
          <t>باز</t>
        </is>
      </c>
      <c r="M411" s="9">
        <f>IF(D411="","",IF(L411="انجام شده","انجام شده",IF(L411="لغو شده","لغو شده",IF(G411&lt;TODAY(),"عقب‌افتاده",IF(G411=TODAY(),"امروز",IF(G411&lt;=TODAY()+7,"تا ۷ روز",IF(G411&lt;=TODAY()+15,"تا ۱۵ روز","آینده")))))))</f>
        <v/>
      </c>
      <c r="N411" s="9" t="inlineStr"/>
      <c r="O411" s="9" t="n">
        <v>0</v>
      </c>
      <c r="P411" s="10" t="n"/>
      <c r="Q411" s="9" t="inlineStr"/>
      <c r="R411" s="9" t="inlineStr">
        <is>
          <t>پیش‌فرض 1405</t>
        </is>
      </c>
      <c r="S411" s="9" t="inlineStr">
        <is>
          <t>T102</t>
        </is>
      </c>
      <c r="T411" s="9" t="inlineStr">
        <is>
          <t>بله</t>
        </is>
      </c>
    </row>
    <row r="412">
      <c r="A412" s="9" t="inlineStr">
        <is>
          <t>1405-0411</t>
        </is>
      </c>
      <c r="B412" s="9" t="inlineStr">
        <is>
          <t>کیهان توسعه البرز</t>
        </is>
      </c>
      <c r="C412" s="9" t="inlineStr">
        <is>
          <t>پایان ماه</t>
        </is>
      </c>
      <c r="D412" s="9" t="inlineStr">
        <is>
          <t>بستن حساب‌های ماه تیر و کنترل مانده‌ها</t>
        </is>
      </c>
      <c r="E412" s="9" t="inlineStr">
        <is>
          <t>ماهانه</t>
        </is>
      </c>
      <c r="F412" s="9" t="inlineStr">
        <is>
          <t>تیر</t>
        </is>
      </c>
      <c r="G412" s="10" t="n">
        <v>46235</v>
      </c>
      <c r="H412" s="9" t="inlineStr">
        <is>
          <t>1405/05/10</t>
        </is>
      </c>
      <c r="I412" s="9" t="n">
        <v>7</v>
      </c>
      <c r="J412" s="10">
        <f>IF(G412="","",G412-I412)</f>
        <v/>
      </c>
      <c r="K412" s="9" t="inlineStr">
        <is>
          <t>بالا</t>
        </is>
      </c>
      <c r="L412" s="9" t="inlineStr">
        <is>
          <t>باز</t>
        </is>
      </c>
      <c r="M412" s="9">
        <f>IF(D412="","",IF(L412="انجام شده","انجام شده",IF(L412="لغو شده","لغو شده",IF(G412&lt;TODAY(),"عقب‌افتاده",IF(G412=TODAY(),"امروز",IF(G412&lt;=TODAY()+7,"تا ۷ روز",IF(G412&lt;=TODAY()+15,"تا ۱۵ روز","آینده")))))))</f>
        <v/>
      </c>
      <c r="N412" s="9" t="inlineStr"/>
      <c r="O412" s="9" t="n">
        <v>0</v>
      </c>
      <c r="P412" s="10" t="n"/>
      <c r="Q412" s="9" t="inlineStr"/>
      <c r="R412" s="9" t="inlineStr">
        <is>
          <t>پیش‌فرض 1405</t>
        </is>
      </c>
      <c r="S412" s="9" t="inlineStr">
        <is>
          <t>T103</t>
        </is>
      </c>
      <c r="T412" s="9" t="inlineStr">
        <is>
          <t>بله</t>
        </is>
      </c>
    </row>
    <row r="413">
      <c r="A413" s="9" t="inlineStr">
        <is>
          <t>1405-0412</t>
        </is>
      </c>
      <c r="B413" s="9" t="inlineStr">
        <is>
          <t>کیهان توسعه البرز</t>
        </is>
      </c>
      <c r="C413" s="9" t="inlineStr">
        <is>
          <t>گزارش</t>
        </is>
      </c>
      <c r="D413" s="9" t="inlineStr">
        <is>
          <t>تهیه گزارش مدیریت ماه تیر</t>
        </is>
      </c>
      <c r="E413" s="9" t="inlineStr">
        <is>
          <t>ماهانه</t>
        </is>
      </c>
      <c r="F413" s="9" t="inlineStr">
        <is>
          <t>تیر</t>
        </is>
      </c>
      <c r="G413" s="10" t="n">
        <v>46235</v>
      </c>
      <c r="H413" s="9" t="inlineStr">
        <is>
          <t>1405/05/10</t>
        </is>
      </c>
      <c r="I413" s="9" t="n">
        <v>5</v>
      </c>
      <c r="J413" s="10">
        <f>IF(G413="","",G413-I413)</f>
        <v/>
      </c>
      <c r="K413" s="9" t="inlineStr">
        <is>
          <t>متوسط</t>
        </is>
      </c>
      <c r="L413" s="9" t="inlineStr">
        <is>
          <t>باز</t>
        </is>
      </c>
      <c r="M413" s="9">
        <f>IF(D413="","",IF(L413="انجام شده","انجام شده",IF(L413="لغو شده","لغو شده",IF(G413&lt;TODAY(),"عقب‌افتاده",IF(G413=TODAY(),"امروز",IF(G413&lt;=TODAY()+7,"تا ۷ روز",IF(G413&lt;=TODAY()+15,"تا ۱۵ روز","آینده")))))))</f>
        <v/>
      </c>
      <c r="N413" s="9" t="inlineStr"/>
      <c r="O413" s="9" t="n">
        <v>0</v>
      </c>
      <c r="P413" s="10" t="n"/>
      <c r="Q413" s="9" t="inlineStr"/>
      <c r="R413" s="9" t="inlineStr">
        <is>
          <t>پیش‌فرض 1405</t>
        </is>
      </c>
      <c r="S413" s="9" t="inlineStr">
        <is>
          <t>T104</t>
        </is>
      </c>
      <c r="T413" s="9" t="inlineStr">
        <is>
          <t>بله</t>
        </is>
      </c>
    </row>
    <row r="414">
      <c r="A414" s="9" t="inlineStr">
        <is>
          <t>1405-0413</t>
        </is>
      </c>
      <c r="B414" s="9" t="inlineStr">
        <is>
          <t>کیهان توسعه البرز</t>
        </is>
      </c>
      <c r="C414" s="9" t="inlineStr">
        <is>
          <t>حقوق و دستمزد</t>
        </is>
      </c>
      <c r="D414" s="9" t="inlineStr">
        <is>
          <t>محاسبه حقوق و دستمزد ماه تیر</t>
        </is>
      </c>
      <c r="E414" s="9" t="inlineStr">
        <is>
          <t>ماهانه</t>
        </is>
      </c>
      <c r="F414" s="9" t="inlineStr">
        <is>
          <t>تیر</t>
        </is>
      </c>
      <c r="G414" s="10" t="n">
        <v>46222</v>
      </c>
      <c r="H414" s="9" t="inlineStr">
        <is>
          <t>1405/04/28</t>
        </is>
      </c>
      <c r="I414" s="9" t="n">
        <v>5</v>
      </c>
      <c r="J414" s="10">
        <f>IF(G414="","",G414-I414)</f>
        <v/>
      </c>
      <c r="K414" s="9" t="inlineStr">
        <is>
          <t>بالا</t>
        </is>
      </c>
      <c r="L414" s="9" t="inlineStr">
        <is>
          <t>باز</t>
        </is>
      </c>
      <c r="M414" s="9">
        <f>IF(D414="","",IF(L414="انجام شده","انجام شده",IF(L414="لغو شده","لغو شده",IF(G414&lt;TODAY(),"عقب‌افتاده",IF(G414=TODAY(),"امروز",IF(G414&lt;=TODAY()+7,"تا ۷ روز",IF(G414&lt;=TODAY()+15,"تا ۱۵ روز","آینده")))))))</f>
        <v/>
      </c>
      <c r="N414" s="9" t="inlineStr"/>
      <c r="O414" s="9" t="n">
        <v>0</v>
      </c>
      <c r="P414" s="10" t="n"/>
      <c r="Q414" s="9" t="inlineStr"/>
      <c r="R414" s="9" t="inlineStr">
        <is>
          <t>پیش‌فرض 1405</t>
        </is>
      </c>
      <c r="S414" s="9" t="inlineStr">
        <is>
          <t>T105</t>
        </is>
      </c>
      <c r="T414" s="9" t="inlineStr">
        <is>
          <t>بله</t>
        </is>
      </c>
    </row>
    <row r="415">
      <c r="A415" s="9" t="inlineStr">
        <is>
          <t>1405-0414</t>
        </is>
      </c>
      <c r="B415" s="9" t="inlineStr">
        <is>
          <t>کیهان توسعه البرز</t>
        </is>
      </c>
      <c r="C415" s="9" t="inlineStr">
        <is>
          <t>حقوق و دستمزد</t>
        </is>
      </c>
      <c r="D415" s="9" t="inlineStr">
        <is>
          <t>ارسال/پرداخت لیست بیمه ماه تیر</t>
        </is>
      </c>
      <c r="E415" s="9" t="inlineStr">
        <is>
          <t>ماهانه</t>
        </is>
      </c>
      <c r="F415" s="9" t="inlineStr">
        <is>
          <t>تیر</t>
        </is>
      </c>
      <c r="G415" s="10" t="n">
        <v>46256</v>
      </c>
      <c r="H415" s="9" t="inlineStr">
        <is>
          <t>1405/05/31</t>
        </is>
      </c>
      <c r="I415" s="9" t="n">
        <v>7</v>
      </c>
      <c r="J415" s="10">
        <f>IF(G415="","",G415-I415)</f>
        <v/>
      </c>
      <c r="K415" s="9" t="inlineStr">
        <is>
          <t>خیلی بالا</t>
        </is>
      </c>
      <c r="L415" s="9" t="inlineStr">
        <is>
          <t>باز</t>
        </is>
      </c>
      <c r="M415" s="9">
        <f>IF(D415="","",IF(L415="انجام شده","انجام شده",IF(L415="لغو شده","لغو شده",IF(G415&lt;TODAY(),"عقب‌افتاده",IF(G415=TODAY(),"امروز",IF(G415&lt;=TODAY()+7,"تا ۷ روز",IF(G415&lt;=TODAY()+15,"تا ۱۵ روز","آینده")))))))</f>
        <v/>
      </c>
      <c r="N415" s="9" t="inlineStr"/>
      <c r="O415" s="9" t="n">
        <v>0</v>
      </c>
      <c r="P415" s="10" t="n"/>
      <c r="Q415" s="9" t="inlineStr"/>
      <c r="R415" s="9" t="inlineStr">
        <is>
          <t>پیش‌فرض 1405</t>
        </is>
      </c>
      <c r="S415" s="9" t="inlineStr">
        <is>
          <t>T106</t>
        </is>
      </c>
      <c r="T415" s="9" t="inlineStr">
        <is>
          <t>بله</t>
        </is>
      </c>
    </row>
    <row r="416">
      <c r="A416" s="9" t="inlineStr">
        <is>
          <t>1405-0415</t>
        </is>
      </c>
      <c r="B416" s="9" t="inlineStr">
        <is>
          <t>کیهان توسعه البرز</t>
        </is>
      </c>
      <c r="C416" s="9" t="inlineStr">
        <is>
          <t>حقوق و دستمزد</t>
        </is>
      </c>
      <c r="D416" s="9" t="inlineStr">
        <is>
          <t>ارسال/پرداخت مالیات حقوق ماه تیر</t>
        </is>
      </c>
      <c r="E416" s="9" t="inlineStr">
        <is>
          <t>ماهانه</t>
        </is>
      </c>
      <c r="F416" s="9" t="inlineStr">
        <is>
          <t>تیر</t>
        </is>
      </c>
      <c r="G416" s="10" t="n">
        <v>46256</v>
      </c>
      <c r="H416" s="9" t="inlineStr">
        <is>
          <t>1405/05/31</t>
        </is>
      </c>
      <c r="I416" s="9" t="n">
        <v>7</v>
      </c>
      <c r="J416" s="10">
        <f>IF(G416="","",G416-I416)</f>
        <v/>
      </c>
      <c r="K416" s="9" t="inlineStr">
        <is>
          <t>خیلی بالا</t>
        </is>
      </c>
      <c r="L416" s="9" t="inlineStr">
        <is>
          <t>باز</t>
        </is>
      </c>
      <c r="M416" s="9">
        <f>IF(D416="","",IF(L416="انجام شده","انجام شده",IF(L416="لغو شده","لغو شده",IF(G416&lt;TODAY(),"عقب‌افتاده",IF(G416=TODAY(),"امروز",IF(G416&lt;=TODAY()+7,"تا ۷ روز",IF(G416&lt;=TODAY()+15,"تا ۱۵ روز","آینده")))))))</f>
        <v/>
      </c>
      <c r="N416" s="9" t="inlineStr"/>
      <c r="O416" s="9" t="n">
        <v>0</v>
      </c>
      <c r="P416" s="10" t="n"/>
      <c r="Q416" s="9" t="inlineStr"/>
      <c r="R416" s="9" t="inlineStr">
        <is>
          <t>پیش‌فرض 1405</t>
        </is>
      </c>
      <c r="S416" s="9" t="inlineStr">
        <is>
          <t>T107</t>
        </is>
      </c>
      <c r="T416" s="9" t="inlineStr">
        <is>
          <t>بله</t>
        </is>
      </c>
    </row>
    <row r="417">
      <c r="A417" s="9" t="inlineStr">
        <is>
          <t>1405-0416</t>
        </is>
      </c>
      <c r="B417" s="9" t="inlineStr">
        <is>
          <t>کیهان توسعه البرز</t>
        </is>
      </c>
      <c r="C417" s="9" t="inlineStr">
        <is>
          <t>بایگانی</t>
        </is>
      </c>
      <c r="D417" s="9" t="inlineStr">
        <is>
          <t>بایگانی مدارک و اسناد ماه تیر</t>
        </is>
      </c>
      <c r="E417" s="9" t="inlineStr">
        <is>
          <t>ماهانه</t>
        </is>
      </c>
      <c r="F417" s="9" t="inlineStr">
        <is>
          <t>تیر</t>
        </is>
      </c>
      <c r="G417" s="10" t="n">
        <v>46240</v>
      </c>
      <c r="H417" s="9" t="inlineStr">
        <is>
          <t>1405/05/15</t>
        </is>
      </c>
      <c r="I417" s="9" t="n">
        <v>3</v>
      </c>
      <c r="J417" s="10">
        <f>IF(G417="","",G417-I417)</f>
        <v/>
      </c>
      <c r="K417" s="9" t="inlineStr">
        <is>
          <t>متوسط</t>
        </is>
      </c>
      <c r="L417" s="9" t="inlineStr">
        <is>
          <t>باز</t>
        </is>
      </c>
      <c r="M417" s="9">
        <f>IF(D417="","",IF(L417="انجام شده","انجام شده",IF(L417="لغو شده","لغو شده",IF(G417&lt;TODAY(),"عقب‌افتاده",IF(G417=TODAY(),"امروز",IF(G417&lt;=TODAY()+7,"تا ۷ روز",IF(G417&lt;=TODAY()+15,"تا ۱۵ روز","آینده")))))))</f>
        <v/>
      </c>
      <c r="N417" s="9" t="inlineStr"/>
      <c r="O417" s="9" t="n">
        <v>0</v>
      </c>
      <c r="P417" s="10" t="n"/>
      <c r="Q417" s="9" t="inlineStr"/>
      <c r="R417" s="9" t="inlineStr">
        <is>
          <t>پیش‌فرض 1405</t>
        </is>
      </c>
      <c r="S417" s="9" t="inlineStr">
        <is>
          <t>T108</t>
        </is>
      </c>
      <c r="T417" s="9" t="inlineStr">
        <is>
          <t>بله</t>
        </is>
      </c>
    </row>
    <row r="418">
      <c r="A418" s="9" t="inlineStr">
        <is>
          <t>1405-0417</t>
        </is>
      </c>
      <c r="B418" s="9" t="inlineStr">
        <is>
          <t>کیهان توسعه البرز</t>
        </is>
      </c>
      <c r="C418" s="9" t="inlineStr">
        <is>
          <t>پایان ماه</t>
        </is>
      </c>
      <c r="D418" s="9" t="inlineStr">
        <is>
          <t>مغایرت‌گیری بانکی ماه مرداد</t>
        </is>
      </c>
      <c r="E418" s="9" t="inlineStr">
        <is>
          <t>ماهانه</t>
        </is>
      </c>
      <c r="F418" s="9" t="inlineStr">
        <is>
          <t>مرداد</t>
        </is>
      </c>
      <c r="G418" s="10" t="n">
        <v>46261</v>
      </c>
      <c r="H418" s="9" t="inlineStr">
        <is>
          <t>1405/06/05</t>
        </is>
      </c>
      <c r="I418" s="9" t="n">
        <v>5</v>
      </c>
      <c r="J418" s="10">
        <f>IF(G418="","",G418-I418)</f>
        <v/>
      </c>
      <c r="K418" s="9" t="inlineStr">
        <is>
          <t>بالا</t>
        </is>
      </c>
      <c r="L418" s="9" t="inlineStr">
        <is>
          <t>باز</t>
        </is>
      </c>
      <c r="M418" s="9">
        <f>IF(D418="","",IF(L418="انجام شده","انجام شده",IF(L418="لغو شده","لغو شده",IF(G418&lt;TODAY(),"عقب‌افتاده",IF(G418=TODAY(),"امروز",IF(G418&lt;=TODAY()+7,"تا ۷ روز",IF(G418&lt;=TODAY()+15,"تا ۱۵ روز","آینده")))))))</f>
        <v/>
      </c>
      <c r="N418" s="9" t="inlineStr"/>
      <c r="O418" s="9" t="n">
        <v>0</v>
      </c>
      <c r="P418" s="10" t="n"/>
      <c r="Q418" s="9" t="inlineStr"/>
      <c r="R418" s="9" t="inlineStr">
        <is>
          <t>پیش‌فرض 1405</t>
        </is>
      </c>
      <c r="S418" s="9" t="inlineStr">
        <is>
          <t>T101</t>
        </is>
      </c>
      <c r="T418" s="9" t="inlineStr">
        <is>
          <t>بله</t>
        </is>
      </c>
    </row>
    <row r="419">
      <c r="A419" s="9" t="inlineStr">
        <is>
          <t>1405-0418</t>
        </is>
      </c>
      <c r="B419" s="9" t="inlineStr">
        <is>
          <t>کیهان توسعه البرز</t>
        </is>
      </c>
      <c r="C419" s="9" t="inlineStr">
        <is>
          <t>پایان ماه</t>
        </is>
      </c>
      <c r="D419" s="9" t="inlineStr">
        <is>
          <t>کنترل نهایی اسناد ماه مرداد</t>
        </is>
      </c>
      <c r="E419" s="9" t="inlineStr">
        <is>
          <t>ماهانه</t>
        </is>
      </c>
      <c r="F419" s="9" t="inlineStr">
        <is>
          <t>مرداد</t>
        </is>
      </c>
      <c r="G419" s="10" t="n">
        <v>46263</v>
      </c>
      <c r="H419" s="9" t="inlineStr">
        <is>
          <t>1405/06/07</t>
        </is>
      </c>
      <c r="I419" s="9" t="n">
        <v>5</v>
      </c>
      <c r="J419" s="10">
        <f>IF(G419="","",G419-I419)</f>
        <v/>
      </c>
      <c r="K419" s="9" t="inlineStr">
        <is>
          <t>بالا</t>
        </is>
      </c>
      <c r="L419" s="9" t="inlineStr">
        <is>
          <t>باز</t>
        </is>
      </c>
      <c r="M419" s="9">
        <f>IF(D419="","",IF(L419="انجام شده","انجام شده",IF(L419="لغو شده","لغو شده",IF(G419&lt;TODAY(),"عقب‌افتاده",IF(G419=TODAY(),"امروز",IF(G419&lt;=TODAY()+7,"تا ۷ روز",IF(G419&lt;=TODAY()+15,"تا ۱۵ روز","آینده")))))))</f>
        <v/>
      </c>
      <c r="N419" s="9" t="inlineStr"/>
      <c r="O419" s="9" t="n">
        <v>0</v>
      </c>
      <c r="P419" s="10" t="n"/>
      <c r="Q419" s="9" t="inlineStr"/>
      <c r="R419" s="9" t="inlineStr">
        <is>
          <t>پیش‌فرض 1405</t>
        </is>
      </c>
      <c r="S419" s="9" t="inlineStr">
        <is>
          <t>T102</t>
        </is>
      </c>
      <c r="T419" s="9" t="inlineStr">
        <is>
          <t>بله</t>
        </is>
      </c>
    </row>
    <row r="420">
      <c r="A420" s="9" t="inlineStr">
        <is>
          <t>1405-0419</t>
        </is>
      </c>
      <c r="B420" s="9" t="inlineStr">
        <is>
          <t>کیهان توسعه البرز</t>
        </is>
      </c>
      <c r="C420" s="9" t="inlineStr">
        <is>
          <t>پایان ماه</t>
        </is>
      </c>
      <c r="D420" s="9" t="inlineStr">
        <is>
          <t>بستن حساب‌های ماه مرداد و کنترل مانده‌ها</t>
        </is>
      </c>
      <c r="E420" s="9" t="inlineStr">
        <is>
          <t>ماهانه</t>
        </is>
      </c>
      <c r="F420" s="9" t="inlineStr">
        <is>
          <t>مرداد</t>
        </is>
      </c>
      <c r="G420" s="10" t="n">
        <v>46266</v>
      </c>
      <c r="H420" s="9" t="inlineStr">
        <is>
          <t>1405/06/10</t>
        </is>
      </c>
      <c r="I420" s="9" t="n">
        <v>7</v>
      </c>
      <c r="J420" s="10">
        <f>IF(G420="","",G420-I420)</f>
        <v/>
      </c>
      <c r="K420" s="9" t="inlineStr">
        <is>
          <t>بالا</t>
        </is>
      </c>
      <c r="L420" s="9" t="inlineStr">
        <is>
          <t>باز</t>
        </is>
      </c>
      <c r="M420" s="9">
        <f>IF(D420="","",IF(L420="انجام شده","انجام شده",IF(L420="لغو شده","لغو شده",IF(G420&lt;TODAY(),"عقب‌افتاده",IF(G420=TODAY(),"امروز",IF(G420&lt;=TODAY()+7,"تا ۷ روز",IF(G420&lt;=TODAY()+15,"تا ۱۵ روز","آینده")))))))</f>
        <v/>
      </c>
      <c r="N420" s="9" t="inlineStr"/>
      <c r="O420" s="9" t="n">
        <v>0</v>
      </c>
      <c r="P420" s="10" t="n"/>
      <c r="Q420" s="9" t="inlineStr"/>
      <c r="R420" s="9" t="inlineStr">
        <is>
          <t>پیش‌فرض 1405</t>
        </is>
      </c>
      <c r="S420" s="9" t="inlineStr">
        <is>
          <t>T103</t>
        </is>
      </c>
      <c r="T420" s="9" t="inlineStr">
        <is>
          <t>بله</t>
        </is>
      </c>
    </row>
    <row r="421">
      <c r="A421" s="9" t="inlineStr">
        <is>
          <t>1405-0420</t>
        </is>
      </c>
      <c r="B421" s="9" t="inlineStr">
        <is>
          <t>کیهان توسعه البرز</t>
        </is>
      </c>
      <c r="C421" s="9" t="inlineStr">
        <is>
          <t>گزارش</t>
        </is>
      </c>
      <c r="D421" s="9" t="inlineStr">
        <is>
          <t>تهیه گزارش مدیریت ماه مرداد</t>
        </is>
      </c>
      <c r="E421" s="9" t="inlineStr">
        <is>
          <t>ماهانه</t>
        </is>
      </c>
      <c r="F421" s="9" t="inlineStr">
        <is>
          <t>مرداد</t>
        </is>
      </c>
      <c r="G421" s="10" t="n">
        <v>46266</v>
      </c>
      <c r="H421" s="9" t="inlineStr">
        <is>
          <t>1405/06/10</t>
        </is>
      </c>
      <c r="I421" s="9" t="n">
        <v>5</v>
      </c>
      <c r="J421" s="10">
        <f>IF(G421="","",G421-I421)</f>
        <v/>
      </c>
      <c r="K421" s="9" t="inlineStr">
        <is>
          <t>متوسط</t>
        </is>
      </c>
      <c r="L421" s="9" t="inlineStr">
        <is>
          <t>باز</t>
        </is>
      </c>
      <c r="M421" s="9">
        <f>IF(D421="","",IF(L421="انجام شده","انجام شده",IF(L421="لغو شده","لغو شده",IF(G421&lt;TODAY(),"عقب‌افتاده",IF(G421=TODAY(),"امروز",IF(G421&lt;=TODAY()+7,"تا ۷ روز",IF(G421&lt;=TODAY()+15,"تا ۱۵ روز","آینده")))))))</f>
        <v/>
      </c>
      <c r="N421" s="9" t="inlineStr"/>
      <c r="O421" s="9" t="n">
        <v>0</v>
      </c>
      <c r="P421" s="10" t="n"/>
      <c r="Q421" s="9" t="inlineStr"/>
      <c r="R421" s="9" t="inlineStr">
        <is>
          <t>پیش‌فرض 1405</t>
        </is>
      </c>
      <c r="S421" s="9" t="inlineStr">
        <is>
          <t>T104</t>
        </is>
      </c>
      <c r="T421" s="9" t="inlineStr">
        <is>
          <t>بله</t>
        </is>
      </c>
    </row>
    <row r="422">
      <c r="A422" s="9" t="inlineStr">
        <is>
          <t>1405-0421</t>
        </is>
      </c>
      <c r="B422" s="9" t="inlineStr">
        <is>
          <t>کیهان توسعه البرز</t>
        </is>
      </c>
      <c r="C422" s="9" t="inlineStr">
        <is>
          <t>حقوق و دستمزد</t>
        </is>
      </c>
      <c r="D422" s="9" t="inlineStr">
        <is>
          <t>محاسبه حقوق و دستمزد ماه مرداد</t>
        </is>
      </c>
      <c r="E422" s="9" t="inlineStr">
        <is>
          <t>ماهانه</t>
        </is>
      </c>
      <c r="F422" s="9" t="inlineStr">
        <is>
          <t>مرداد</t>
        </is>
      </c>
      <c r="G422" s="10" t="n">
        <v>46253</v>
      </c>
      <c r="H422" s="9" t="inlineStr">
        <is>
          <t>1405/05/28</t>
        </is>
      </c>
      <c r="I422" s="9" t="n">
        <v>5</v>
      </c>
      <c r="J422" s="10">
        <f>IF(G422="","",G422-I422)</f>
        <v/>
      </c>
      <c r="K422" s="9" t="inlineStr">
        <is>
          <t>بالا</t>
        </is>
      </c>
      <c r="L422" s="9" t="inlineStr">
        <is>
          <t>باز</t>
        </is>
      </c>
      <c r="M422" s="9">
        <f>IF(D422="","",IF(L422="انجام شده","انجام شده",IF(L422="لغو شده","لغو شده",IF(G422&lt;TODAY(),"عقب‌افتاده",IF(G422=TODAY(),"امروز",IF(G422&lt;=TODAY()+7,"تا ۷ روز",IF(G422&lt;=TODAY()+15,"تا ۱۵ روز","آینده")))))))</f>
        <v/>
      </c>
      <c r="N422" s="9" t="inlineStr"/>
      <c r="O422" s="9" t="n">
        <v>0</v>
      </c>
      <c r="P422" s="10" t="n"/>
      <c r="Q422" s="9" t="inlineStr"/>
      <c r="R422" s="9" t="inlineStr">
        <is>
          <t>پیش‌فرض 1405</t>
        </is>
      </c>
      <c r="S422" s="9" t="inlineStr">
        <is>
          <t>T105</t>
        </is>
      </c>
      <c r="T422" s="9" t="inlineStr">
        <is>
          <t>بله</t>
        </is>
      </c>
    </row>
    <row r="423">
      <c r="A423" s="9" t="inlineStr">
        <is>
          <t>1405-0422</t>
        </is>
      </c>
      <c r="B423" s="9" t="inlineStr">
        <is>
          <t>کیهان توسعه البرز</t>
        </is>
      </c>
      <c r="C423" s="9" t="inlineStr">
        <is>
          <t>حقوق و دستمزد</t>
        </is>
      </c>
      <c r="D423" s="9" t="inlineStr">
        <is>
          <t>ارسال/پرداخت لیست بیمه ماه مرداد</t>
        </is>
      </c>
      <c r="E423" s="9" t="inlineStr">
        <is>
          <t>ماهانه</t>
        </is>
      </c>
      <c r="F423" s="9" t="inlineStr">
        <is>
          <t>مرداد</t>
        </is>
      </c>
      <c r="G423" s="10" t="n">
        <v>46287</v>
      </c>
      <c r="H423" s="9" t="inlineStr">
        <is>
          <t>1405/06/31</t>
        </is>
      </c>
      <c r="I423" s="9" t="n">
        <v>7</v>
      </c>
      <c r="J423" s="10">
        <f>IF(G423="","",G423-I423)</f>
        <v/>
      </c>
      <c r="K423" s="9" t="inlineStr">
        <is>
          <t>خیلی بالا</t>
        </is>
      </c>
      <c r="L423" s="9" t="inlineStr">
        <is>
          <t>باز</t>
        </is>
      </c>
      <c r="M423" s="9">
        <f>IF(D423="","",IF(L423="انجام شده","انجام شده",IF(L423="لغو شده","لغو شده",IF(G423&lt;TODAY(),"عقب‌افتاده",IF(G423=TODAY(),"امروز",IF(G423&lt;=TODAY()+7,"تا ۷ روز",IF(G423&lt;=TODAY()+15,"تا ۱۵ روز","آینده")))))))</f>
        <v/>
      </c>
      <c r="N423" s="9" t="inlineStr"/>
      <c r="O423" s="9" t="n">
        <v>0</v>
      </c>
      <c r="P423" s="10" t="n"/>
      <c r="Q423" s="9" t="inlineStr"/>
      <c r="R423" s="9" t="inlineStr">
        <is>
          <t>پیش‌فرض 1405</t>
        </is>
      </c>
      <c r="S423" s="9" t="inlineStr">
        <is>
          <t>T106</t>
        </is>
      </c>
      <c r="T423" s="9" t="inlineStr">
        <is>
          <t>بله</t>
        </is>
      </c>
    </row>
    <row r="424">
      <c r="A424" s="9" t="inlineStr">
        <is>
          <t>1405-0423</t>
        </is>
      </c>
      <c r="B424" s="9" t="inlineStr">
        <is>
          <t>کیهان توسعه البرز</t>
        </is>
      </c>
      <c r="C424" s="9" t="inlineStr">
        <is>
          <t>حقوق و دستمزد</t>
        </is>
      </c>
      <c r="D424" s="9" t="inlineStr">
        <is>
          <t>ارسال/پرداخت مالیات حقوق ماه مرداد</t>
        </is>
      </c>
      <c r="E424" s="9" t="inlineStr">
        <is>
          <t>ماهانه</t>
        </is>
      </c>
      <c r="F424" s="9" t="inlineStr">
        <is>
          <t>مرداد</t>
        </is>
      </c>
      <c r="G424" s="10" t="n">
        <v>46287</v>
      </c>
      <c r="H424" s="9" t="inlineStr">
        <is>
          <t>1405/06/31</t>
        </is>
      </c>
      <c r="I424" s="9" t="n">
        <v>7</v>
      </c>
      <c r="J424" s="10">
        <f>IF(G424="","",G424-I424)</f>
        <v/>
      </c>
      <c r="K424" s="9" t="inlineStr">
        <is>
          <t>خیلی بالا</t>
        </is>
      </c>
      <c r="L424" s="9" t="inlineStr">
        <is>
          <t>باز</t>
        </is>
      </c>
      <c r="M424" s="9">
        <f>IF(D424="","",IF(L424="انجام شده","انجام شده",IF(L424="لغو شده","لغو شده",IF(G424&lt;TODAY(),"عقب‌افتاده",IF(G424=TODAY(),"امروز",IF(G424&lt;=TODAY()+7,"تا ۷ روز",IF(G424&lt;=TODAY()+15,"تا ۱۵ روز","آینده")))))))</f>
        <v/>
      </c>
      <c r="N424" s="9" t="inlineStr"/>
      <c r="O424" s="9" t="n">
        <v>0</v>
      </c>
      <c r="P424" s="10" t="n"/>
      <c r="Q424" s="9" t="inlineStr"/>
      <c r="R424" s="9" t="inlineStr">
        <is>
          <t>پیش‌فرض 1405</t>
        </is>
      </c>
      <c r="S424" s="9" t="inlineStr">
        <is>
          <t>T107</t>
        </is>
      </c>
      <c r="T424" s="9" t="inlineStr">
        <is>
          <t>بله</t>
        </is>
      </c>
    </row>
    <row r="425">
      <c r="A425" s="9" t="inlineStr">
        <is>
          <t>1405-0424</t>
        </is>
      </c>
      <c r="B425" s="9" t="inlineStr">
        <is>
          <t>کیهان توسعه البرز</t>
        </is>
      </c>
      <c r="C425" s="9" t="inlineStr">
        <is>
          <t>بایگانی</t>
        </is>
      </c>
      <c r="D425" s="9" t="inlineStr">
        <is>
          <t>بایگانی مدارک و اسناد ماه مرداد</t>
        </is>
      </c>
      <c r="E425" s="9" t="inlineStr">
        <is>
          <t>ماهانه</t>
        </is>
      </c>
      <c r="F425" s="9" t="inlineStr">
        <is>
          <t>مرداد</t>
        </is>
      </c>
      <c r="G425" s="10" t="n">
        <v>46271</v>
      </c>
      <c r="H425" s="9" t="inlineStr">
        <is>
          <t>1405/06/15</t>
        </is>
      </c>
      <c r="I425" s="9" t="n">
        <v>3</v>
      </c>
      <c r="J425" s="10">
        <f>IF(G425="","",G425-I425)</f>
        <v/>
      </c>
      <c r="K425" s="9" t="inlineStr">
        <is>
          <t>متوسط</t>
        </is>
      </c>
      <c r="L425" s="9" t="inlineStr">
        <is>
          <t>باز</t>
        </is>
      </c>
      <c r="M425" s="9">
        <f>IF(D425="","",IF(L425="انجام شده","انجام شده",IF(L425="لغو شده","لغو شده",IF(G425&lt;TODAY(),"عقب‌افتاده",IF(G425=TODAY(),"امروز",IF(G425&lt;=TODAY()+7,"تا ۷ روز",IF(G425&lt;=TODAY()+15,"تا ۱۵ روز","آینده")))))))</f>
        <v/>
      </c>
      <c r="N425" s="9" t="inlineStr"/>
      <c r="O425" s="9" t="n">
        <v>0</v>
      </c>
      <c r="P425" s="10" t="n"/>
      <c r="Q425" s="9" t="inlineStr"/>
      <c r="R425" s="9" t="inlineStr">
        <is>
          <t>پیش‌فرض 1405</t>
        </is>
      </c>
      <c r="S425" s="9" t="inlineStr">
        <is>
          <t>T108</t>
        </is>
      </c>
      <c r="T425" s="9" t="inlineStr">
        <is>
          <t>بله</t>
        </is>
      </c>
    </row>
    <row r="426">
      <c r="A426" s="9" t="inlineStr">
        <is>
          <t>1405-0425</t>
        </is>
      </c>
      <c r="B426" s="9" t="inlineStr">
        <is>
          <t>کیهان توسعه البرز</t>
        </is>
      </c>
      <c r="C426" s="9" t="inlineStr">
        <is>
          <t>پایان ماه</t>
        </is>
      </c>
      <c r="D426" s="9" t="inlineStr">
        <is>
          <t>مغایرت‌گیری بانکی ماه شهریور</t>
        </is>
      </c>
      <c r="E426" s="9" t="inlineStr">
        <is>
          <t>ماهانه</t>
        </is>
      </c>
      <c r="F426" s="9" t="inlineStr">
        <is>
          <t>شهریور</t>
        </is>
      </c>
      <c r="G426" s="10" t="n">
        <v>46292</v>
      </c>
      <c r="H426" s="9" t="inlineStr">
        <is>
          <t>1405/07/05</t>
        </is>
      </c>
      <c r="I426" s="9" t="n">
        <v>5</v>
      </c>
      <c r="J426" s="10">
        <f>IF(G426="","",G426-I426)</f>
        <v/>
      </c>
      <c r="K426" s="9" t="inlineStr">
        <is>
          <t>بالا</t>
        </is>
      </c>
      <c r="L426" s="9" t="inlineStr">
        <is>
          <t>باز</t>
        </is>
      </c>
      <c r="M426" s="9">
        <f>IF(D426="","",IF(L426="انجام شده","انجام شده",IF(L426="لغو شده","لغو شده",IF(G426&lt;TODAY(),"عقب‌افتاده",IF(G426=TODAY(),"امروز",IF(G426&lt;=TODAY()+7,"تا ۷ روز",IF(G426&lt;=TODAY()+15,"تا ۱۵ روز","آینده")))))))</f>
        <v/>
      </c>
      <c r="N426" s="9" t="inlineStr"/>
      <c r="O426" s="9" t="n">
        <v>0</v>
      </c>
      <c r="P426" s="10" t="n"/>
      <c r="Q426" s="9" t="inlineStr"/>
      <c r="R426" s="9" t="inlineStr">
        <is>
          <t>پیش‌فرض 1405</t>
        </is>
      </c>
      <c r="S426" s="9" t="inlineStr">
        <is>
          <t>T101</t>
        </is>
      </c>
      <c r="T426" s="9" t="inlineStr">
        <is>
          <t>بله</t>
        </is>
      </c>
    </row>
    <row r="427">
      <c r="A427" s="9" t="inlineStr">
        <is>
          <t>1405-0426</t>
        </is>
      </c>
      <c r="B427" s="9" t="inlineStr">
        <is>
          <t>کیهان توسعه البرز</t>
        </is>
      </c>
      <c r="C427" s="9" t="inlineStr">
        <is>
          <t>پایان ماه</t>
        </is>
      </c>
      <c r="D427" s="9" t="inlineStr">
        <is>
          <t>کنترل نهایی اسناد ماه شهریور</t>
        </is>
      </c>
      <c r="E427" s="9" t="inlineStr">
        <is>
          <t>ماهانه</t>
        </is>
      </c>
      <c r="F427" s="9" t="inlineStr">
        <is>
          <t>شهریور</t>
        </is>
      </c>
      <c r="G427" s="10" t="n">
        <v>46294</v>
      </c>
      <c r="H427" s="9" t="inlineStr">
        <is>
          <t>1405/07/07</t>
        </is>
      </c>
      <c r="I427" s="9" t="n">
        <v>5</v>
      </c>
      <c r="J427" s="10">
        <f>IF(G427="","",G427-I427)</f>
        <v/>
      </c>
      <c r="K427" s="9" t="inlineStr">
        <is>
          <t>بالا</t>
        </is>
      </c>
      <c r="L427" s="9" t="inlineStr">
        <is>
          <t>باز</t>
        </is>
      </c>
      <c r="M427" s="9">
        <f>IF(D427="","",IF(L427="انجام شده","انجام شده",IF(L427="لغو شده","لغو شده",IF(G427&lt;TODAY(),"عقب‌افتاده",IF(G427=TODAY(),"امروز",IF(G427&lt;=TODAY()+7,"تا ۷ روز",IF(G427&lt;=TODAY()+15,"تا ۱۵ روز","آینده")))))))</f>
        <v/>
      </c>
      <c r="N427" s="9" t="inlineStr"/>
      <c r="O427" s="9" t="n">
        <v>0</v>
      </c>
      <c r="P427" s="10" t="n"/>
      <c r="Q427" s="9" t="inlineStr"/>
      <c r="R427" s="9" t="inlineStr">
        <is>
          <t>پیش‌فرض 1405</t>
        </is>
      </c>
      <c r="S427" s="9" t="inlineStr">
        <is>
          <t>T102</t>
        </is>
      </c>
      <c r="T427" s="9" t="inlineStr">
        <is>
          <t>بله</t>
        </is>
      </c>
    </row>
    <row r="428">
      <c r="A428" s="9" t="inlineStr">
        <is>
          <t>1405-0427</t>
        </is>
      </c>
      <c r="B428" s="9" t="inlineStr">
        <is>
          <t>کیهان توسعه البرز</t>
        </is>
      </c>
      <c r="C428" s="9" t="inlineStr">
        <is>
          <t>پایان ماه</t>
        </is>
      </c>
      <c r="D428" s="9" t="inlineStr">
        <is>
          <t>بستن حساب‌های ماه شهریور و کنترل مانده‌ها</t>
        </is>
      </c>
      <c r="E428" s="9" t="inlineStr">
        <is>
          <t>ماهانه</t>
        </is>
      </c>
      <c r="F428" s="9" t="inlineStr">
        <is>
          <t>شهریور</t>
        </is>
      </c>
      <c r="G428" s="10" t="n">
        <v>46297</v>
      </c>
      <c r="H428" s="9" t="inlineStr">
        <is>
          <t>1405/07/10</t>
        </is>
      </c>
      <c r="I428" s="9" t="n">
        <v>7</v>
      </c>
      <c r="J428" s="10">
        <f>IF(G428="","",G428-I428)</f>
        <v/>
      </c>
      <c r="K428" s="9" t="inlineStr">
        <is>
          <t>بالا</t>
        </is>
      </c>
      <c r="L428" s="9" t="inlineStr">
        <is>
          <t>باز</t>
        </is>
      </c>
      <c r="M428" s="9">
        <f>IF(D428="","",IF(L428="انجام شده","انجام شده",IF(L428="لغو شده","لغو شده",IF(G428&lt;TODAY(),"عقب‌افتاده",IF(G428=TODAY(),"امروز",IF(G428&lt;=TODAY()+7,"تا ۷ روز",IF(G428&lt;=TODAY()+15,"تا ۱۵ روز","آینده")))))))</f>
        <v/>
      </c>
      <c r="N428" s="9" t="inlineStr"/>
      <c r="O428" s="9" t="n">
        <v>0</v>
      </c>
      <c r="P428" s="10" t="n"/>
      <c r="Q428" s="9" t="inlineStr"/>
      <c r="R428" s="9" t="inlineStr">
        <is>
          <t>پیش‌فرض 1405</t>
        </is>
      </c>
      <c r="S428" s="9" t="inlineStr">
        <is>
          <t>T103</t>
        </is>
      </c>
      <c r="T428" s="9" t="inlineStr">
        <is>
          <t>بله</t>
        </is>
      </c>
    </row>
    <row r="429">
      <c r="A429" s="9" t="inlineStr">
        <is>
          <t>1405-0428</t>
        </is>
      </c>
      <c r="B429" s="9" t="inlineStr">
        <is>
          <t>کیهان توسعه البرز</t>
        </is>
      </c>
      <c r="C429" s="9" t="inlineStr">
        <is>
          <t>گزارش</t>
        </is>
      </c>
      <c r="D429" s="9" t="inlineStr">
        <is>
          <t>تهیه گزارش مدیریت ماه شهریور</t>
        </is>
      </c>
      <c r="E429" s="9" t="inlineStr">
        <is>
          <t>ماهانه</t>
        </is>
      </c>
      <c r="F429" s="9" t="inlineStr">
        <is>
          <t>شهریور</t>
        </is>
      </c>
      <c r="G429" s="10" t="n">
        <v>46297</v>
      </c>
      <c r="H429" s="9" t="inlineStr">
        <is>
          <t>1405/07/10</t>
        </is>
      </c>
      <c r="I429" s="9" t="n">
        <v>5</v>
      </c>
      <c r="J429" s="10">
        <f>IF(G429="","",G429-I429)</f>
        <v/>
      </c>
      <c r="K429" s="9" t="inlineStr">
        <is>
          <t>متوسط</t>
        </is>
      </c>
      <c r="L429" s="9" t="inlineStr">
        <is>
          <t>باز</t>
        </is>
      </c>
      <c r="M429" s="9">
        <f>IF(D429="","",IF(L429="انجام شده","انجام شده",IF(L429="لغو شده","لغو شده",IF(G429&lt;TODAY(),"عقب‌افتاده",IF(G429=TODAY(),"امروز",IF(G429&lt;=TODAY()+7,"تا ۷ روز",IF(G429&lt;=TODAY()+15,"تا ۱۵ روز","آینده")))))))</f>
        <v/>
      </c>
      <c r="N429" s="9" t="inlineStr"/>
      <c r="O429" s="9" t="n">
        <v>0</v>
      </c>
      <c r="P429" s="10" t="n"/>
      <c r="Q429" s="9" t="inlineStr"/>
      <c r="R429" s="9" t="inlineStr">
        <is>
          <t>پیش‌فرض 1405</t>
        </is>
      </c>
      <c r="S429" s="9" t="inlineStr">
        <is>
          <t>T104</t>
        </is>
      </c>
      <c r="T429" s="9" t="inlineStr">
        <is>
          <t>بله</t>
        </is>
      </c>
    </row>
    <row r="430">
      <c r="A430" s="9" t="inlineStr">
        <is>
          <t>1405-0429</t>
        </is>
      </c>
      <c r="B430" s="9" t="inlineStr">
        <is>
          <t>کیهان توسعه البرز</t>
        </is>
      </c>
      <c r="C430" s="9" t="inlineStr">
        <is>
          <t>حقوق و دستمزد</t>
        </is>
      </c>
      <c r="D430" s="9" t="inlineStr">
        <is>
          <t>محاسبه حقوق و دستمزد ماه شهریور</t>
        </is>
      </c>
      <c r="E430" s="9" t="inlineStr">
        <is>
          <t>ماهانه</t>
        </is>
      </c>
      <c r="F430" s="9" t="inlineStr">
        <is>
          <t>شهریور</t>
        </is>
      </c>
      <c r="G430" s="10" t="n">
        <v>46284</v>
      </c>
      <c r="H430" s="9" t="inlineStr">
        <is>
          <t>1405/06/28</t>
        </is>
      </c>
      <c r="I430" s="9" t="n">
        <v>5</v>
      </c>
      <c r="J430" s="10">
        <f>IF(G430="","",G430-I430)</f>
        <v/>
      </c>
      <c r="K430" s="9" t="inlineStr">
        <is>
          <t>بالا</t>
        </is>
      </c>
      <c r="L430" s="9" t="inlineStr">
        <is>
          <t>باز</t>
        </is>
      </c>
      <c r="M430" s="9">
        <f>IF(D430="","",IF(L430="انجام شده","انجام شده",IF(L430="لغو شده","لغو شده",IF(G430&lt;TODAY(),"عقب‌افتاده",IF(G430=TODAY(),"امروز",IF(G430&lt;=TODAY()+7,"تا ۷ روز",IF(G430&lt;=TODAY()+15,"تا ۱۵ روز","آینده")))))))</f>
        <v/>
      </c>
      <c r="N430" s="9" t="inlineStr"/>
      <c r="O430" s="9" t="n">
        <v>0</v>
      </c>
      <c r="P430" s="10" t="n"/>
      <c r="Q430" s="9" t="inlineStr"/>
      <c r="R430" s="9" t="inlineStr">
        <is>
          <t>پیش‌فرض 1405</t>
        </is>
      </c>
      <c r="S430" s="9" t="inlineStr">
        <is>
          <t>T105</t>
        </is>
      </c>
      <c r="T430" s="9" t="inlineStr">
        <is>
          <t>بله</t>
        </is>
      </c>
    </row>
    <row r="431">
      <c r="A431" s="9" t="inlineStr">
        <is>
          <t>1405-0430</t>
        </is>
      </c>
      <c r="B431" s="9" t="inlineStr">
        <is>
          <t>کیهان توسعه البرز</t>
        </is>
      </c>
      <c r="C431" s="9" t="inlineStr">
        <is>
          <t>حقوق و دستمزد</t>
        </is>
      </c>
      <c r="D431" s="9" t="inlineStr">
        <is>
          <t>ارسال/پرداخت لیست بیمه ماه شهریور</t>
        </is>
      </c>
      <c r="E431" s="9" t="inlineStr">
        <is>
          <t>ماهانه</t>
        </is>
      </c>
      <c r="F431" s="9" t="inlineStr">
        <is>
          <t>شهریور</t>
        </is>
      </c>
      <c r="G431" s="10" t="n">
        <v>46317</v>
      </c>
      <c r="H431" s="9" t="inlineStr">
        <is>
          <t>1405/07/30</t>
        </is>
      </c>
      <c r="I431" s="9" t="n">
        <v>7</v>
      </c>
      <c r="J431" s="10">
        <f>IF(G431="","",G431-I431)</f>
        <v/>
      </c>
      <c r="K431" s="9" t="inlineStr">
        <is>
          <t>خیلی بالا</t>
        </is>
      </c>
      <c r="L431" s="9" t="inlineStr">
        <is>
          <t>باز</t>
        </is>
      </c>
      <c r="M431" s="9">
        <f>IF(D431="","",IF(L431="انجام شده","انجام شده",IF(L431="لغو شده","لغو شده",IF(G431&lt;TODAY(),"عقب‌افتاده",IF(G431=TODAY(),"امروز",IF(G431&lt;=TODAY()+7,"تا ۷ روز",IF(G431&lt;=TODAY()+15,"تا ۱۵ روز","آینده")))))))</f>
        <v/>
      </c>
      <c r="N431" s="9" t="inlineStr"/>
      <c r="O431" s="9" t="n">
        <v>0</v>
      </c>
      <c r="P431" s="10" t="n"/>
      <c r="Q431" s="9" t="inlineStr"/>
      <c r="R431" s="9" t="inlineStr">
        <is>
          <t>پیش‌فرض 1405</t>
        </is>
      </c>
      <c r="S431" s="9" t="inlineStr">
        <is>
          <t>T106</t>
        </is>
      </c>
      <c r="T431" s="9" t="inlineStr">
        <is>
          <t>بله</t>
        </is>
      </c>
    </row>
    <row r="432">
      <c r="A432" s="9" t="inlineStr">
        <is>
          <t>1405-0431</t>
        </is>
      </c>
      <c r="B432" s="9" t="inlineStr">
        <is>
          <t>کیهان توسعه البرز</t>
        </is>
      </c>
      <c r="C432" s="9" t="inlineStr">
        <is>
          <t>حقوق و دستمزد</t>
        </is>
      </c>
      <c r="D432" s="9" t="inlineStr">
        <is>
          <t>ارسال/پرداخت مالیات حقوق ماه شهریور</t>
        </is>
      </c>
      <c r="E432" s="9" t="inlineStr">
        <is>
          <t>ماهانه</t>
        </is>
      </c>
      <c r="F432" s="9" t="inlineStr">
        <is>
          <t>شهریور</t>
        </is>
      </c>
      <c r="G432" s="10" t="n">
        <v>46317</v>
      </c>
      <c r="H432" s="9" t="inlineStr">
        <is>
          <t>1405/07/30</t>
        </is>
      </c>
      <c r="I432" s="9" t="n">
        <v>7</v>
      </c>
      <c r="J432" s="10">
        <f>IF(G432="","",G432-I432)</f>
        <v/>
      </c>
      <c r="K432" s="9" t="inlineStr">
        <is>
          <t>خیلی بالا</t>
        </is>
      </c>
      <c r="L432" s="9" t="inlineStr">
        <is>
          <t>باز</t>
        </is>
      </c>
      <c r="M432" s="9">
        <f>IF(D432="","",IF(L432="انجام شده","انجام شده",IF(L432="لغو شده","لغو شده",IF(G432&lt;TODAY(),"عقب‌افتاده",IF(G432=TODAY(),"امروز",IF(G432&lt;=TODAY()+7,"تا ۷ روز",IF(G432&lt;=TODAY()+15,"تا ۱۵ روز","آینده")))))))</f>
        <v/>
      </c>
      <c r="N432" s="9" t="inlineStr"/>
      <c r="O432" s="9" t="n">
        <v>0</v>
      </c>
      <c r="P432" s="10" t="n"/>
      <c r="Q432" s="9" t="inlineStr"/>
      <c r="R432" s="9" t="inlineStr">
        <is>
          <t>پیش‌فرض 1405</t>
        </is>
      </c>
      <c r="S432" s="9" t="inlineStr">
        <is>
          <t>T107</t>
        </is>
      </c>
      <c r="T432" s="9" t="inlineStr">
        <is>
          <t>بله</t>
        </is>
      </c>
    </row>
    <row r="433">
      <c r="A433" s="9" t="inlineStr">
        <is>
          <t>1405-0432</t>
        </is>
      </c>
      <c r="B433" s="9" t="inlineStr">
        <is>
          <t>کیهان توسعه البرز</t>
        </is>
      </c>
      <c r="C433" s="9" t="inlineStr">
        <is>
          <t>بایگانی</t>
        </is>
      </c>
      <c r="D433" s="9" t="inlineStr">
        <is>
          <t>بایگانی مدارک و اسناد ماه شهریور</t>
        </is>
      </c>
      <c r="E433" s="9" t="inlineStr">
        <is>
          <t>ماهانه</t>
        </is>
      </c>
      <c r="F433" s="9" t="inlineStr">
        <is>
          <t>شهریور</t>
        </is>
      </c>
      <c r="G433" s="10" t="n">
        <v>46302</v>
      </c>
      <c r="H433" s="9" t="inlineStr">
        <is>
          <t>1405/07/15</t>
        </is>
      </c>
      <c r="I433" s="9" t="n">
        <v>3</v>
      </c>
      <c r="J433" s="10">
        <f>IF(G433="","",G433-I433)</f>
        <v/>
      </c>
      <c r="K433" s="9" t="inlineStr">
        <is>
          <t>متوسط</t>
        </is>
      </c>
      <c r="L433" s="9" t="inlineStr">
        <is>
          <t>باز</t>
        </is>
      </c>
      <c r="M433" s="9">
        <f>IF(D433="","",IF(L433="انجام شده","انجام شده",IF(L433="لغو شده","لغو شده",IF(G433&lt;TODAY(),"عقب‌افتاده",IF(G433=TODAY(),"امروز",IF(G433&lt;=TODAY()+7,"تا ۷ روز",IF(G433&lt;=TODAY()+15,"تا ۱۵ روز","آینده")))))))</f>
        <v/>
      </c>
      <c r="N433" s="9" t="inlineStr"/>
      <c r="O433" s="9" t="n">
        <v>0</v>
      </c>
      <c r="P433" s="10" t="n"/>
      <c r="Q433" s="9" t="inlineStr"/>
      <c r="R433" s="9" t="inlineStr">
        <is>
          <t>پیش‌فرض 1405</t>
        </is>
      </c>
      <c r="S433" s="9" t="inlineStr">
        <is>
          <t>T108</t>
        </is>
      </c>
      <c r="T433" s="9" t="inlineStr">
        <is>
          <t>بله</t>
        </is>
      </c>
    </row>
    <row r="434">
      <c r="A434" s="9" t="inlineStr">
        <is>
          <t>1405-0433</t>
        </is>
      </c>
      <c r="B434" s="9" t="inlineStr">
        <is>
          <t>کیهان توسعه البرز</t>
        </is>
      </c>
      <c r="C434" s="9" t="inlineStr">
        <is>
          <t>پایان ماه</t>
        </is>
      </c>
      <c r="D434" s="9" t="inlineStr">
        <is>
          <t>مغایرت‌گیری بانکی ماه مهر</t>
        </is>
      </c>
      <c r="E434" s="9" t="inlineStr">
        <is>
          <t>ماهانه</t>
        </is>
      </c>
      <c r="F434" s="9" t="inlineStr">
        <is>
          <t>مهر</t>
        </is>
      </c>
      <c r="G434" s="10" t="n">
        <v>46322</v>
      </c>
      <c r="H434" s="9" t="inlineStr">
        <is>
          <t>1405/08/05</t>
        </is>
      </c>
      <c r="I434" s="9" t="n">
        <v>5</v>
      </c>
      <c r="J434" s="10">
        <f>IF(G434="","",G434-I434)</f>
        <v/>
      </c>
      <c r="K434" s="9" t="inlineStr">
        <is>
          <t>بالا</t>
        </is>
      </c>
      <c r="L434" s="9" t="inlineStr">
        <is>
          <t>باز</t>
        </is>
      </c>
      <c r="M434" s="9">
        <f>IF(D434="","",IF(L434="انجام شده","انجام شده",IF(L434="لغو شده","لغو شده",IF(G434&lt;TODAY(),"عقب‌افتاده",IF(G434=TODAY(),"امروز",IF(G434&lt;=TODAY()+7,"تا ۷ روز",IF(G434&lt;=TODAY()+15,"تا ۱۵ روز","آینده")))))))</f>
        <v/>
      </c>
      <c r="N434" s="9" t="inlineStr"/>
      <c r="O434" s="9" t="n">
        <v>0</v>
      </c>
      <c r="P434" s="10" t="n"/>
      <c r="Q434" s="9" t="inlineStr"/>
      <c r="R434" s="9" t="inlineStr">
        <is>
          <t>پیش‌فرض 1405</t>
        </is>
      </c>
      <c r="S434" s="9" t="inlineStr">
        <is>
          <t>T101</t>
        </is>
      </c>
      <c r="T434" s="9" t="inlineStr">
        <is>
          <t>بله</t>
        </is>
      </c>
    </row>
    <row r="435">
      <c r="A435" s="9" t="inlineStr">
        <is>
          <t>1405-0434</t>
        </is>
      </c>
      <c r="B435" s="9" t="inlineStr">
        <is>
          <t>کیهان توسعه البرز</t>
        </is>
      </c>
      <c r="C435" s="9" t="inlineStr">
        <is>
          <t>پایان ماه</t>
        </is>
      </c>
      <c r="D435" s="9" t="inlineStr">
        <is>
          <t>کنترل نهایی اسناد ماه مهر</t>
        </is>
      </c>
      <c r="E435" s="9" t="inlineStr">
        <is>
          <t>ماهانه</t>
        </is>
      </c>
      <c r="F435" s="9" t="inlineStr">
        <is>
          <t>مهر</t>
        </is>
      </c>
      <c r="G435" s="10" t="n">
        <v>46324</v>
      </c>
      <c r="H435" s="9" t="inlineStr">
        <is>
          <t>1405/08/07</t>
        </is>
      </c>
      <c r="I435" s="9" t="n">
        <v>5</v>
      </c>
      <c r="J435" s="10">
        <f>IF(G435="","",G435-I435)</f>
        <v/>
      </c>
      <c r="K435" s="9" t="inlineStr">
        <is>
          <t>بالا</t>
        </is>
      </c>
      <c r="L435" s="9" t="inlineStr">
        <is>
          <t>باز</t>
        </is>
      </c>
      <c r="M435" s="9">
        <f>IF(D435="","",IF(L435="انجام شده","انجام شده",IF(L435="لغو شده","لغو شده",IF(G435&lt;TODAY(),"عقب‌افتاده",IF(G435=TODAY(),"امروز",IF(G435&lt;=TODAY()+7,"تا ۷ روز",IF(G435&lt;=TODAY()+15,"تا ۱۵ روز","آینده")))))))</f>
        <v/>
      </c>
      <c r="N435" s="9" t="inlineStr"/>
      <c r="O435" s="9" t="n">
        <v>0</v>
      </c>
      <c r="P435" s="10" t="n"/>
      <c r="Q435" s="9" t="inlineStr"/>
      <c r="R435" s="9" t="inlineStr">
        <is>
          <t>پیش‌فرض 1405</t>
        </is>
      </c>
      <c r="S435" s="9" t="inlineStr">
        <is>
          <t>T102</t>
        </is>
      </c>
      <c r="T435" s="9" t="inlineStr">
        <is>
          <t>بله</t>
        </is>
      </c>
    </row>
    <row r="436">
      <c r="A436" s="9" t="inlineStr">
        <is>
          <t>1405-0435</t>
        </is>
      </c>
      <c r="B436" s="9" t="inlineStr">
        <is>
          <t>کیهان توسعه البرز</t>
        </is>
      </c>
      <c r="C436" s="9" t="inlineStr">
        <is>
          <t>پایان ماه</t>
        </is>
      </c>
      <c r="D436" s="9" t="inlineStr">
        <is>
          <t>بستن حساب‌های ماه مهر و کنترل مانده‌ها</t>
        </is>
      </c>
      <c r="E436" s="9" t="inlineStr">
        <is>
          <t>ماهانه</t>
        </is>
      </c>
      <c r="F436" s="9" t="inlineStr">
        <is>
          <t>مهر</t>
        </is>
      </c>
      <c r="G436" s="10" t="n">
        <v>46327</v>
      </c>
      <c r="H436" s="9" t="inlineStr">
        <is>
          <t>1405/08/10</t>
        </is>
      </c>
      <c r="I436" s="9" t="n">
        <v>7</v>
      </c>
      <c r="J436" s="10">
        <f>IF(G436="","",G436-I436)</f>
        <v/>
      </c>
      <c r="K436" s="9" t="inlineStr">
        <is>
          <t>بالا</t>
        </is>
      </c>
      <c r="L436" s="9" t="inlineStr">
        <is>
          <t>باز</t>
        </is>
      </c>
      <c r="M436" s="9">
        <f>IF(D436="","",IF(L436="انجام شده","انجام شده",IF(L436="لغو شده","لغو شده",IF(G436&lt;TODAY(),"عقب‌افتاده",IF(G436=TODAY(),"امروز",IF(G436&lt;=TODAY()+7,"تا ۷ روز",IF(G436&lt;=TODAY()+15,"تا ۱۵ روز","آینده")))))))</f>
        <v/>
      </c>
      <c r="N436" s="9" t="inlineStr"/>
      <c r="O436" s="9" t="n">
        <v>0</v>
      </c>
      <c r="P436" s="10" t="n"/>
      <c r="Q436" s="9" t="inlineStr"/>
      <c r="R436" s="9" t="inlineStr">
        <is>
          <t>پیش‌فرض 1405</t>
        </is>
      </c>
      <c r="S436" s="9" t="inlineStr">
        <is>
          <t>T103</t>
        </is>
      </c>
      <c r="T436" s="9" t="inlineStr">
        <is>
          <t>بله</t>
        </is>
      </c>
    </row>
    <row r="437">
      <c r="A437" s="9" t="inlineStr">
        <is>
          <t>1405-0436</t>
        </is>
      </c>
      <c r="B437" s="9" t="inlineStr">
        <is>
          <t>کیهان توسعه البرز</t>
        </is>
      </c>
      <c r="C437" s="9" t="inlineStr">
        <is>
          <t>گزارش</t>
        </is>
      </c>
      <c r="D437" s="9" t="inlineStr">
        <is>
          <t>تهیه گزارش مدیریت ماه مهر</t>
        </is>
      </c>
      <c r="E437" s="9" t="inlineStr">
        <is>
          <t>ماهانه</t>
        </is>
      </c>
      <c r="F437" s="9" t="inlineStr">
        <is>
          <t>مهر</t>
        </is>
      </c>
      <c r="G437" s="10" t="n">
        <v>46327</v>
      </c>
      <c r="H437" s="9" t="inlineStr">
        <is>
          <t>1405/08/10</t>
        </is>
      </c>
      <c r="I437" s="9" t="n">
        <v>5</v>
      </c>
      <c r="J437" s="10">
        <f>IF(G437="","",G437-I437)</f>
        <v/>
      </c>
      <c r="K437" s="9" t="inlineStr">
        <is>
          <t>متوسط</t>
        </is>
      </c>
      <c r="L437" s="9" t="inlineStr">
        <is>
          <t>باز</t>
        </is>
      </c>
      <c r="M437" s="9">
        <f>IF(D437="","",IF(L437="انجام شده","انجام شده",IF(L437="لغو شده","لغو شده",IF(G437&lt;TODAY(),"عقب‌افتاده",IF(G437=TODAY(),"امروز",IF(G437&lt;=TODAY()+7,"تا ۷ روز",IF(G437&lt;=TODAY()+15,"تا ۱۵ روز","آینده")))))))</f>
        <v/>
      </c>
      <c r="N437" s="9" t="inlineStr"/>
      <c r="O437" s="9" t="n">
        <v>0</v>
      </c>
      <c r="P437" s="10" t="n"/>
      <c r="Q437" s="9" t="inlineStr"/>
      <c r="R437" s="9" t="inlineStr">
        <is>
          <t>پیش‌فرض 1405</t>
        </is>
      </c>
      <c r="S437" s="9" t="inlineStr">
        <is>
          <t>T104</t>
        </is>
      </c>
      <c r="T437" s="9" t="inlineStr">
        <is>
          <t>بله</t>
        </is>
      </c>
    </row>
    <row r="438">
      <c r="A438" s="9" t="inlineStr">
        <is>
          <t>1405-0437</t>
        </is>
      </c>
      <c r="B438" s="9" t="inlineStr">
        <is>
          <t>کیهان توسعه البرز</t>
        </is>
      </c>
      <c r="C438" s="9" t="inlineStr">
        <is>
          <t>حقوق و دستمزد</t>
        </is>
      </c>
      <c r="D438" s="9" t="inlineStr">
        <is>
          <t>محاسبه حقوق و دستمزد ماه مهر</t>
        </is>
      </c>
      <c r="E438" s="9" t="inlineStr">
        <is>
          <t>ماهانه</t>
        </is>
      </c>
      <c r="F438" s="9" t="inlineStr">
        <is>
          <t>مهر</t>
        </is>
      </c>
      <c r="G438" s="10" t="n">
        <v>46315</v>
      </c>
      <c r="H438" s="9" t="inlineStr">
        <is>
          <t>1405/07/28</t>
        </is>
      </c>
      <c r="I438" s="9" t="n">
        <v>5</v>
      </c>
      <c r="J438" s="10">
        <f>IF(G438="","",G438-I438)</f>
        <v/>
      </c>
      <c r="K438" s="9" t="inlineStr">
        <is>
          <t>بالا</t>
        </is>
      </c>
      <c r="L438" s="9" t="inlineStr">
        <is>
          <t>باز</t>
        </is>
      </c>
      <c r="M438" s="9">
        <f>IF(D438="","",IF(L438="انجام شده","انجام شده",IF(L438="لغو شده","لغو شده",IF(G438&lt;TODAY(),"عقب‌افتاده",IF(G438=TODAY(),"امروز",IF(G438&lt;=TODAY()+7,"تا ۷ روز",IF(G438&lt;=TODAY()+15,"تا ۱۵ روز","آینده")))))))</f>
        <v/>
      </c>
      <c r="N438" s="9" t="inlineStr"/>
      <c r="O438" s="9" t="n">
        <v>0</v>
      </c>
      <c r="P438" s="10" t="n"/>
      <c r="Q438" s="9" t="inlineStr"/>
      <c r="R438" s="9" t="inlineStr">
        <is>
          <t>پیش‌فرض 1405</t>
        </is>
      </c>
      <c r="S438" s="9" t="inlineStr">
        <is>
          <t>T105</t>
        </is>
      </c>
      <c r="T438" s="9" t="inlineStr">
        <is>
          <t>بله</t>
        </is>
      </c>
    </row>
    <row r="439">
      <c r="A439" s="9" t="inlineStr">
        <is>
          <t>1405-0438</t>
        </is>
      </c>
      <c r="B439" s="9" t="inlineStr">
        <is>
          <t>کیهان توسعه البرز</t>
        </is>
      </c>
      <c r="C439" s="9" t="inlineStr">
        <is>
          <t>حقوق و دستمزد</t>
        </is>
      </c>
      <c r="D439" s="9" t="inlineStr">
        <is>
          <t>ارسال/پرداخت لیست بیمه ماه مهر</t>
        </is>
      </c>
      <c r="E439" s="9" t="inlineStr">
        <is>
          <t>ماهانه</t>
        </is>
      </c>
      <c r="F439" s="9" t="inlineStr">
        <is>
          <t>مهر</t>
        </is>
      </c>
      <c r="G439" s="10" t="n">
        <v>46347</v>
      </c>
      <c r="H439" s="9" t="inlineStr">
        <is>
          <t>1405/08/30</t>
        </is>
      </c>
      <c r="I439" s="9" t="n">
        <v>7</v>
      </c>
      <c r="J439" s="10">
        <f>IF(G439="","",G439-I439)</f>
        <v/>
      </c>
      <c r="K439" s="9" t="inlineStr">
        <is>
          <t>خیلی بالا</t>
        </is>
      </c>
      <c r="L439" s="9" t="inlineStr">
        <is>
          <t>باز</t>
        </is>
      </c>
      <c r="M439" s="9">
        <f>IF(D439="","",IF(L439="انجام شده","انجام شده",IF(L439="لغو شده","لغو شده",IF(G439&lt;TODAY(),"عقب‌افتاده",IF(G439=TODAY(),"امروز",IF(G439&lt;=TODAY()+7,"تا ۷ روز",IF(G439&lt;=TODAY()+15,"تا ۱۵ روز","آینده")))))))</f>
        <v/>
      </c>
      <c r="N439" s="9" t="inlineStr"/>
      <c r="O439" s="9" t="n">
        <v>0</v>
      </c>
      <c r="P439" s="10" t="n"/>
      <c r="Q439" s="9" t="inlineStr"/>
      <c r="R439" s="9" t="inlineStr">
        <is>
          <t>پیش‌فرض 1405</t>
        </is>
      </c>
      <c r="S439" s="9" t="inlineStr">
        <is>
          <t>T106</t>
        </is>
      </c>
      <c r="T439" s="9" t="inlineStr">
        <is>
          <t>بله</t>
        </is>
      </c>
    </row>
    <row r="440">
      <c r="A440" s="9" t="inlineStr">
        <is>
          <t>1405-0439</t>
        </is>
      </c>
      <c r="B440" s="9" t="inlineStr">
        <is>
          <t>کیهان توسعه البرز</t>
        </is>
      </c>
      <c r="C440" s="9" t="inlineStr">
        <is>
          <t>حقوق و دستمزد</t>
        </is>
      </c>
      <c r="D440" s="9" t="inlineStr">
        <is>
          <t>ارسال/پرداخت مالیات حقوق ماه مهر</t>
        </is>
      </c>
      <c r="E440" s="9" t="inlineStr">
        <is>
          <t>ماهانه</t>
        </is>
      </c>
      <c r="F440" s="9" t="inlineStr">
        <is>
          <t>مهر</t>
        </is>
      </c>
      <c r="G440" s="10" t="n">
        <v>46347</v>
      </c>
      <c r="H440" s="9" t="inlineStr">
        <is>
          <t>1405/08/30</t>
        </is>
      </c>
      <c r="I440" s="9" t="n">
        <v>7</v>
      </c>
      <c r="J440" s="10">
        <f>IF(G440="","",G440-I440)</f>
        <v/>
      </c>
      <c r="K440" s="9" t="inlineStr">
        <is>
          <t>خیلی بالا</t>
        </is>
      </c>
      <c r="L440" s="9" t="inlineStr">
        <is>
          <t>باز</t>
        </is>
      </c>
      <c r="M440" s="9">
        <f>IF(D440="","",IF(L440="انجام شده","انجام شده",IF(L440="لغو شده","لغو شده",IF(G440&lt;TODAY(),"عقب‌افتاده",IF(G440=TODAY(),"امروز",IF(G440&lt;=TODAY()+7,"تا ۷ روز",IF(G440&lt;=TODAY()+15,"تا ۱۵ روز","آینده")))))))</f>
        <v/>
      </c>
      <c r="N440" s="9" t="inlineStr"/>
      <c r="O440" s="9" t="n">
        <v>0</v>
      </c>
      <c r="P440" s="10" t="n"/>
      <c r="Q440" s="9" t="inlineStr"/>
      <c r="R440" s="9" t="inlineStr">
        <is>
          <t>پیش‌فرض 1405</t>
        </is>
      </c>
      <c r="S440" s="9" t="inlineStr">
        <is>
          <t>T107</t>
        </is>
      </c>
      <c r="T440" s="9" t="inlineStr">
        <is>
          <t>بله</t>
        </is>
      </c>
    </row>
    <row r="441">
      <c r="A441" s="9" t="inlineStr">
        <is>
          <t>1405-0440</t>
        </is>
      </c>
      <c r="B441" s="9" t="inlineStr">
        <is>
          <t>کیهان توسعه البرز</t>
        </is>
      </c>
      <c r="C441" s="9" t="inlineStr">
        <is>
          <t>بایگانی</t>
        </is>
      </c>
      <c r="D441" s="9" t="inlineStr">
        <is>
          <t>بایگانی مدارک و اسناد ماه مهر</t>
        </is>
      </c>
      <c r="E441" s="9" t="inlineStr">
        <is>
          <t>ماهانه</t>
        </is>
      </c>
      <c r="F441" s="9" t="inlineStr">
        <is>
          <t>مهر</t>
        </is>
      </c>
      <c r="G441" s="10" t="n">
        <v>46332</v>
      </c>
      <c r="H441" s="9" t="inlineStr">
        <is>
          <t>1405/08/15</t>
        </is>
      </c>
      <c r="I441" s="9" t="n">
        <v>3</v>
      </c>
      <c r="J441" s="10">
        <f>IF(G441="","",G441-I441)</f>
        <v/>
      </c>
      <c r="K441" s="9" t="inlineStr">
        <is>
          <t>متوسط</t>
        </is>
      </c>
      <c r="L441" s="9" t="inlineStr">
        <is>
          <t>باز</t>
        </is>
      </c>
      <c r="M441" s="9">
        <f>IF(D441="","",IF(L441="انجام شده","انجام شده",IF(L441="لغو شده","لغو شده",IF(G441&lt;TODAY(),"عقب‌افتاده",IF(G441=TODAY(),"امروز",IF(G441&lt;=TODAY()+7,"تا ۷ روز",IF(G441&lt;=TODAY()+15,"تا ۱۵ روز","آینده")))))))</f>
        <v/>
      </c>
      <c r="N441" s="9" t="inlineStr"/>
      <c r="O441" s="9" t="n">
        <v>0</v>
      </c>
      <c r="P441" s="10" t="n"/>
      <c r="Q441" s="9" t="inlineStr"/>
      <c r="R441" s="9" t="inlineStr">
        <is>
          <t>پیش‌فرض 1405</t>
        </is>
      </c>
      <c r="S441" s="9" t="inlineStr">
        <is>
          <t>T108</t>
        </is>
      </c>
      <c r="T441" s="9" t="inlineStr">
        <is>
          <t>بله</t>
        </is>
      </c>
    </row>
    <row r="442">
      <c r="A442" s="9" t="inlineStr">
        <is>
          <t>1405-0441</t>
        </is>
      </c>
      <c r="B442" s="9" t="inlineStr">
        <is>
          <t>کیهان توسعه البرز</t>
        </is>
      </c>
      <c r="C442" s="9" t="inlineStr">
        <is>
          <t>پایان ماه</t>
        </is>
      </c>
      <c r="D442" s="9" t="inlineStr">
        <is>
          <t>مغایرت‌گیری بانکی ماه آبان</t>
        </is>
      </c>
      <c r="E442" s="9" t="inlineStr">
        <is>
          <t>ماهانه</t>
        </is>
      </c>
      <c r="F442" s="9" t="inlineStr">
        <is>
          <t>آبان</t>
        </is>
      </c>
      <c r="G442" s="10" t="n">
        <v>46352</v>
      </c>
      <c r="H442" s="9" t="inlineStr">
        <is>
          <t>1405/09/05</t>
        </is>
      </c>
      <c r="I442" s="9" t="n">
        <v>5</v>
      </c>
      <c r="J442" s="10">
        <f>IF(G442="","",G442-I442)</f>
        <v/>
      </c>
      <c r="K442" s="9" t="inlineStr">
        <is>
          <t>بالا</t>
        </is>
      </c>
      <c r="L442" s="9" t="inlineStr">
        <is>
          <t>باز</t>
        </is>
      </c>
      <c r="M442" s="9">
        <f>IF(D442="","",IF(L442="انجام شده","انجام شده",IF(L442="لغو شده","لغو شده",IF(G442&lt;TODAY(),"عقب‌افتاده",IF(G442=TODAY(),"امروز",IF(G442&lt;=TODAY()+7,"تا ۷ روز",IF(G442&lt;=TODAY()+15,"تا ۱۵ روز","آینده")))))))</f>
        <v/>
      </c>
      <c r="N442" s="9" t="inlineStr"/>
      <c r="O442" s="9" t="n">
        <v>0</v>
      </c>
      <c r="P442" s="10" t="n"/>
      <c r="Q442" s="9" t="inlineStr"/>
      <c r="R442" s="9" t="inlineStr">
        <is>
          <t>پیش‌فرض 1405</t>
        </is>
      </c>
      <c r="S442" s="9" t="inlineStr">
        <is>
          <t>T101</t>
        </is>
      </c>
      <c r="T442" s="9" t="inlineStr">
        <is>
          <t>بله</t>
        </is>
      </c>
    </row>
    <row r="443">
      <c r="A443" s="9" t="inlineStr">
        <is>
          <t>1405-0442</t>
        </is>
      </c>
      <c r="B443" s="9" t="inlineStr">
        <is>
          <t>کیهان توسعه البرز</t>
        </is>
      </c>
      <c r="C443" s="9" t="inlineStr">
        <is>
          <t>پایان ماه</t>
        </is>
      </c>
      <c r="D443" s="9" t="inlineStr">
        <is>
          <t>کنترل نهایی اسناد ماه آبان</t>
        </is>
      </c>
      <c r="E443" s="9" t="inlineStr">
        <is>
          <t>ماهانه</t>
        </is>
      </c>
      <c r="F443" s="9" t="inlineStr">
        <is>
          <t>آبان</t>
        </is>
      </c>
      <c r="G443" s="10" t="n">
        <v>46354</v>
      </c>
      <c r="H443" s="9" t="inlineStr">
        <is>
          <t>1405/09/07</t>
        </is>
      </c>
      <c r="I443" s="9" t="n">
        <v>5</v>
      </c>
      <c r="J443" s="10">
        <f>IF(G443="","",G443-I443)</f>
        <v/>
      </c>
      <c r="K443" s="9" t="inlineStr">
        <is>
          <t>بالا</t>
        </is>
      </c>
      <c r="L443" s="9" t="inlineStr">
        <is>
          <t>باز</t>
        </is>
      </c>
      <c r="M443" s="9">
        <f>IF(D443="","",IF(L443="انجام شده","انجام شده",IF(L443="لغو شده","لغو شده",IF(G443&lt;TODAY(),"عقب‌افتاده",IF(G443=TODAY(),"امروز",IF(G443&lt;=TODAY()+7,"تا ۷ روز",IF(G443&lt;=TODAY()+15,"تا ۱۵ روز","آینده")))))))</f>
        <v/>
      </c>
      <c r="N443" s="9" t="inlineStr"/>
      <c r="O443" s="9" t="n">
        <v>0</v>
      </c>
      <c r="P443" s="10" t="n"/>
      <c r="Q443" s="9" t="inlineStr"/>
      <c r="R443" s="9" t="inlineStr">
        <is>
          <t>پیش‌فرض 1405</t>
        </is>
      </c>
      <c r="S443" s="9" t="inlineStr">
        <is>
          <t>T102</t>
        </is>
      </c>
      <c r="T443" s="9" t="inlineStr">
        <is>
          <t>بله</t>
        </is>
      </c>
    </row>
    <row r="444">
      <c r="A444" s="9" t="inlineStr">
        <is>
          <t>1405-0443</t>
        </is>
      </c>
      <c r="B444" s="9" t="inlineStr">
        <is>
          <t>کیهان توسعه البرز</t>
        </is>
      </c>
      <c r="C444" s="9" t="inlineStr">
        <is>
          <t>پایان ماه</t>
        </is>
      </c>
      <c r="D444" s="9" t="inlineStr">
        <is>
          <t>بستن حساب‌های ماه آبان و کنترل مانده‌ها</t>
        </is>
      </c>
      <c r="E444" s="9" t="inlineStr">
        <is>
          <t>ماهانه</t>
        </is>
      </c>
      <c r="F444" s="9" t="inlineStr">
        <is>
          <t>آبان</t>
        </is>
      </c>
      <c r="G444" s="10" t="n">
        <v>46357</v>
      </c>
      <c r="H444" s="9" t="inlineStr">
        <is>
          <t>1405/09/10</t>
        </is>
      </c>
      <c r="I444" s="9" t="n">
        <v>7</v>
      </c>
      <c r="J444" s="10">
        <f>IF(G444="","",G444-I444)</f>
        <v/>
      </c>
      <c r="K444" s="9" t="inlineStr">
        <is>
          <t>بالا</t>
        </is>
      </c>
      <c r="L444" s="9" t="inlineStr">
        <is>
          <t>باز</t>
        </is>
      </c>
      <c r="M444" s="9">
        <f>IF(D444="","",IF(L444="انجام شده","انجام شده",IF(L444="لغو شده","لغو شده",IF(G444&lt;TODAY(),"عقب‌افتاده",IF(G444=TODAY(),"امروز",IF(G444&lt;=TODAY()+7,"تا ۷ روز",IF(G444&lt;=TODAY()+15,"تا ۱۵ روز","آینده")))))))</f>
        <v/>
      </c>
      <c r="N444" s="9" t="inlineStr"/>
      <c r="O444" s="9" t="n">
        <v>0</v>
      </c>
      <c r="P444" s="10" t="n"/>
      <c r="Q444" s="9" t="inlineStr"/>
      <c r="R444" s="9" t="inlineStr">
        <is>
          <t>پیش‌فرض 1405</t>
        </is>
      </c>
      <c r="S444" s="9" t="inlineStr">
        <is>
          <t>T103</t>
        </is>
      </c>
      <c r="T444" s="9" t="inlineStr">
        <is>
          <t>بله</t>
        </is>
      </c>
    </row>
    <row r="445">
      <c r="A445" s="9" t="inlineStr">
        <is>
          <t>1405-0444</t>
        </is>
      </c>
      <c r="B445" s="9" t="inlineStr">
        <is>
          <t>کیهان توسعه البرز</t>
        </is>
      </c>
      <c r="C445" s="9" t="inlineStr">
        <is>
          <t>گزارش</t>
        </is>
      </c>
      <c r="D445" s="9" t="inlineStr">
        <is>
          <t>تهیه گزارش مدیریت ماه آبان</t>
        </is>
      </c>
      <c r="E445" s="9" t="inlineStr">
        <is>
          <t>ماهانه</t>
        </is>
      </c>
      <c r="F445" s="9" t="inlineStr">
        <is>
          <t>آبان</t>
        </is>
      </c>
      <c r="G445" s="10" t="n">
        <v>46357</v>
      </c>
      <c r="H445" s="9" t="inlineStr">
        <is>
          <t>1405/09/10</t>
        </is>
      </c>
      <c r="I445" s="9" t="n">
        <v>5</v>
      </c>
      <c r="J445" s="10">
        <f>IF(G445="","",G445-I445)</f>
        <v/>
      </c>
      <c r="K445" s="9" t="inlineStr">
        <is>
          <t>متوسط</t>
        </is>
      </c>
      <c r="L445" s="9" t="inlineStr">
        <is>
          <t>باز</t>
        </is>
      </c>
      <c r="M445" s="9">
        <f>IF(D445="","",IF(L445="انجام شده","انجام شده",IF(L445="لغو شده","لغو شده",IF(G445&lt;TODAY(),"عقب‌افتاده",IF(G445=TODAY(),"امروز",IF(G445&lt;=TODAY()+7,"تا ۷ روز",IF(G445&lt;=TODAY()+15,"تا ۱۵ روز","آینده")))))))</f>
        <v/>
      </c>
      <c r="N445" s="9" t="inlineStr"/>
      <c r="O445" s="9" t="n">
        <v>0</v>
      </c>
      <c r="P445" s="10" t="n"/>
      <c r="Q445" s="9" t="inlineStr"/>
      <c r="R445" s="9" t="inlineStr">
        <is>
          <t>پیش‌فرض 1405</t>
        </is>
      </c>
      <c r="S445" s="9" t="inlineStr">
        <is>
          <t>T104</t>
        </is>
      </c>
      <c r="T445" s="9" t="inlineStr">
        <is>
          <t>بله</t>
        </is>
      </c>
    </row>
    <row r="446">
      <c r="A446" s="9" t="inlineStr">
        <is>
          <t>1405-0445</t>
        </is>
      </c>
      <c r="B446" s="9" t="inlineStr">
        <is>
          <t>کیهان توسعه البرز</t>
        </is>
      </c>
      <c r="C446" s="9" t="inlineStr">
        <is>
          <t>حقوق و دستمزد</t>
        </is>
      </c>
      <c r="D446" s="9" t="inlineStr">
        <is>
          <t>محاسبه حقوق و دستمزد ماه آبان</t>
        </is>
      </c>
      <c r="E446" s="9" t="inlineStr">
        <is>
          <t>ماهانه</t>
        </is>
      </c>
      <c r="F446" s="9" t="inlineStr">
        <is>
          <t>آبان</t>
        </is>
      </c>
      <c r="G446" s="10" t="n">
        <v>46345</v>
      </c>
      <c r="H446" s="9" t="inlineStr">
        <is>
          <t>1405/08/28</t>
        </is>
      </c>
      <c r="I446" s="9" t="n">
        <v>5</v>
      </c>
      <c r="J446" s="10">
        <f>IF(G446="","",G446-I446)</f>
        <v/>
      </c>
      <c r="K446" s="9" t="inlineStr">
        <is>
          <t>بالا</t>
        </is>
      </c>
      <c r="L446" s="9" t="inlineStr">
        <is>
          <t>باز</t>
        </is>
      </c>
      <c r="M446" s="9">
        <f>IF(D446="","",IF(L446="انجام شده","انجام شده",IF(L446="لغو شده","لغو شده",IF(G446&lt;TODAY(),"عقب‌افتاده",IF(G446=TODAY(),"امروز",IF(G446&lt;=TODAY()+7,"تا ۷ روز",IF(G446&lt;=TODAY()+15,"تا ۱۵ روز","آینده")))))))</f>
        <v/>
      </c>
      <c r="N446" s="9" t="inlineStr"/>
      <c r="O446" s="9" t="n">
        <v>0</v>
      </c>
      <c r="P446" s="10" t="n"/>
      <c r="Q446" s="9" t="inlineStr"/>
      <c r="R446" s="9" t="inlineStr">
        <is>
          <t>پیش‌فرض 1405</t>
        </is>
      </c>
      <c r="S446" s="9" t="inlineStr">
        <is>
          <t>T105</t>
        </is>
      </c>
      <c r="T446" s="9" t="inlineStr">
        <is>
          <t>بله</t>
        </is>
      </c>
    </row>
    <row r="447">
      <c r="A447" s="9" t="inlineStr">
        <is>
          <t>1405-0446</t>
        </is>
      </c>
      <c r="B447" s="9" t="inlineStr">
        <is>
          <t>کیهان توسعه البرز</t>
        </is>
      </c>
      <c r="C447" s="9" t="inlineStr">
        <is>
          <t>حقوق و دستمزد</t>
        </is>
      </c>
      <c r="D447" s="9" t="inlineStr">
        <is>
          <t>ارسال/پرداخت لیست بیمه ماه آبان</t>
        </is>
      </c>
      <c r="E447" s="9" t="inlineStr">
        <is>
          <t>ماهانه</t>
        </is>
      </c>
      <c r="F447" s="9" t="inlineStr">
        <is>
          <t>آبان</t>
        </is>
      </c>
      <c r="G447" s="10" t="n">
        <v>46377</v>
      </c>
      <c r="H447" s="9" t="inlineStr">
        <is>
          <t>1405/09/30</t>
        </is>
      </c>
      <c r="I447" s="9" t="n">
        <v>7</v>
      </c>
      <c r="J447" s="10">
        <f>IF(G447="","",G447-I447)</f>
        <v/>
      </c>
      <c r="K447" s="9" t="inlineStr">
        <is>
          <t>خیلی بالا</t>
        </is>
      </c>
      <c r="L447" s="9" t="inlineStr">
        <is>
          <t>باز</t>
        </is>
      </c>
      <c r="M447" s="9">
        <f>IF(D447="","",IF(L447="انجام شده","انجام شده",IF(L447="لغو شده","لغو شده",IF(G447&lt;TODAY(),"عقب‌افتاده",IF(G447=TODAY(),"امروز",IF(G447&lt;=TODAY()+7,"تا ۷ روز",IF(G447&lt;=TODAY()+15,"تا ۱۵ روز","آینده")))))))</f>
        <v/>
      </c>
      <c r="N447" s="9" t="inlineStr"/>
      <c r="O447" s="9" t="n">
        <v>0</v>
      </c>
      <c r="P447" s="10" t="n"/>
      <c r="Q447" s="9" t="inlineStr"/>
      <c r="R447" s="9" t="inlineStr">
        <is>
          <t>پیش‌فرض 1405</t>
        </is>
      </c>
      <c r="S447" s="9" t="inlineStr">
        <is>
          <t>T106</t>
        </is>
      </c>
      <c r="T447" s="9" t="inlineStr">
        <is>
          <t>بله</t>
        </is>
      </c>
    </row>
    <row r="448">
      <c r="A448" s="9" t="inlineStr">
        <is>
          <t>1405-0447</t>
        </is>
      </c>
      <c r="B448" s="9" t="inlineStr">
        <is>
          <t>کیهان توسعه البرز</t>
        </is>
      </c>
      <c r="C448" s="9" t="inlineStr">
        <is>
          <t>حقوق و دستمزد</t>
        </is>
      </c>
      <c r="D448" s="9" t="inlineStr">
        <is>
          <t>ارسال/پرداخت مالیات حقوق ماه آبان</t>
        </is>
      </c>
      <c r="E448" s="9" t="inlineStr">
        <is>
          <t>ماهانه</t>
        </is>
      </c>
      <c r="F448" s="9" t="inlineStr">
        <is>
          <t>آبان</t>
        </is>
      </c>
      <c r="G448" s="10" t="n">
        <v>46377</v>
      </c>
      <c r="H448" s="9" t="inlineStr">
        <is>
          <t>1405/09/30</t>
        </is>
      </c>
      <c r="I448" s="9" t="n">
        <v>7</v>
      </c>
      <c r="J448" s="10">
        <f>IF(G448="","",G448-I448)</f>
        <v/>
      </c>
      <c r="K448" s="9" t="inlineStr">
        <is>
          <t>خیلی بالا</t>
        </is>
      </c>
      <c r="L448" s="9" t="inlineStr">
        <is>
          <t>باز</t>
        </is>
      </c>
      <c r="M448" s="9">
        <f>IF(D448="","",IF(L448="انجام شده","انجام شده",IF(L448="لغو شده","لغو شده",IF(G448&lt;TODAY(),"عقب‌افتاده",IF(G448=TODAY(),"امروز",IF(G448&lt;=TODAY()+7,"تا ۷ روز",IF(G448&lt;=TODAY()+15,"تا ۱۵ روز","آینده")))))))</f>
        <v/>
      </c>
      <c r="N448" s="9" t="inlineStr"/>
      <c r="O448" s="9" t="n">
        <v>0</v>
      </c>
      <c r="P448" s="10" t="n"/>
      <c r="Q448" s="9" t="inlineStr"/>
      <c r="R448" s="9" t="inlineStr">
        <is>
          <t>پیش‌فرض 1405</t>
        </is>
      </c>
      <c r="S448" s="9" t="inlineStr">
        <is>
          <t>T107</t>
        </is>
      </c>
      <c r="T448" s="9" t="inlineStr">
        <is>
          <t>بله</t>
        </is>
      </c>
    </row>
    <row r="449">
      <c r="A449" s="9" t="inlineStr">
        <is>
          <t>1405-0448</t>
        </is>
      </c>
      <c r="B449" s="9" t="inlineStr">
        <is>
          <t>کیهان توسعه البرز</t>
        </is>
      </c>
      <c r="C449" s="9" t="inlineStr">
        <is>
          <t>بایگانی</t>
        </is>
      </c>
      <c r="D449" s="9" t="inlineStr">
        <is>
          <t>بایگانی مدارک و اسناد ماه آبان</t>
        </is>
      </c>
      <c r="E449" s="9" t="inlineStr">
        <is>
          <t>ماهانه</t>
        </is>
      </c>
      <c r="F449" s="9" t="inlineStr">
        <is>
          <t>آبان</t>
        </is>
      </c>
      <c r="G449" s="10" t="n">
        <v>46362</v>
      </c>
      <c r="H449" s="9" t="inlineStr">
        <is>
          <t>1405/09/15</t>
        </is>
      </c>
      <c r="I449" s="9" t="n">
        <v>3</v>
      </c>
      <c r="J449" s="10">
        <f>IF(G449="","",G449-I449)</f>
        <v/>
      </c>
      <c r="K449" s="9" t="inlineStr">
        <is>
          <t>متوسط</t>
        </is>
      </c>
      <c r="L449" s="9" t="inlineStr">
        <is>
          <t>باز</t>
        </is>
      </c>
      <c r="M449" s="9">
        <f>IF(D449="","",IF(L449="انجام شده","انجام شده",IF(L449="لغو شده","لغو شده",IF(G449&lt;TODAY(),"عقب‌افتاده",IF(G449=TODAY(),"امروز",IF(G449&lt;=TODAY()+7,"تا ۷ روز",IF(G449&lt;=TODAY()+15,"تا ۱۵ روز","آینده")))))))</f>
        <v/>
      </c>
      <c r="N449" s="9" t="inlineStr"/>
      <c r="O449" s="9" t="n">
        <v>0</v>
      </c>
      <c r="P449" s="10" t="n"/>
      <c r="Q449" s="9" t="inlineStr"/>
      <c r="R449" s="9" t="inlineStr">
        <is>
          <t>پیش‌فرض 1405</t>
        </is>
      </c>
      <c r="S449" s="9" t="inlineStr">
        <is>
          <t>T108</t>
        </is>
      </c>
      <c r="T449" s="9" t="inlineStr">
        <is>
          <t>بله</t>
        </is>
      </c>
    </row>
    <row r="450">
      <c r="A450" s="9" t="inlineStr">
        <is>
          <t>1405-0449</t>
        </is>
      </c>
      <c r="B450" s="9" t="inlineStr">
        <is>
          <t>کیهان توسعه البرز</t>
        </is>
      </c>
      <c r="C450" s="9" t="inlineStr">
        <is>
          <t>پایان ماه</t>
        </is>
      </c>
      <c r="D450" s="9" t="inlineStr">
        <is>
          <t>مغایرت‌گیری بانکی ماه آذر</t>
        </is>
      </c>
      <c r="E450" s="9" t="inlineStr">
        <is>
          <t>ماهانه</t>
        </is>
      </c>
      <c r="F450" s="9" t="inlineStr">
        <is>
          <t>آذر</t>
        </is>
      </c>
      <c r="G450" s="10" t="n">
        <v>46382</v>
      </c>
      <c r="H450" s="9" t="inlineStr">
        <is>
          <t>1405/10/05</t>
        </is>
      </c>
      <c r="I450" s="9" t="n">
        <v>5</v>
      </c>
      <c r="J450" s="10">
        <f>IF(G450="","",G450-I450)</f>
        <v/>
      </c>
      <c r="K450" s="9" t="inlineStr">
        <is>
          <t>بالا</t>
        </is>
      </c>
      <c r="L450" s="9" t="inlineStr">
        <is>
          <t>باز</t>
        </is>
      </c>
      <c r="M450" s="9">
        <f>IF(D450="","",IF(L450="انجام شده","انجام شده",IF(L450="لغو شده","لغو شده",IF(G450&lt;TODAY(),"عقب‌افتاده",IF(G450=TODAY(),"امروز",IF(G450&lt;=TODAY()+7,"تا ۷ روز",IF(G450&lt;=TODAY()+15,"تا ۱۵ روز","آینده")))))))</f>
        <v/>
      </c>
      <c r="N450" s="9" t="inlineStr"/>
      <c r="O450" s="9" t="n">
        <v>0</v>
      </c>
      <c r="P450" s="10" t="n"/>
      <c r="Q450" s="9" t="inlineStr"/>
      <c r="R450" s="9" t="inlineStr">
        <is>
          <t>پیش‌فرض 1405</t>
        </is>
      </c>
      <c r="S450" s="9" t="inlineStr">
        <is>
          <t>T101</t>
        </is>
      </c>
      <c r="T450" s="9" t="inlineStr">
        <is>
          <t>بله</t>
        </is>
      </c>
    </row>
    <row r="451">
      <c r="A451" s="9" t="inlineStr">
        <is>
          <t>1405-0450</t>
        </is>
      </c>
      <c r="B451" s="9" t="inlineStr">
        <is>
          <t>کیهان توسعه البرز</t>
        </is>
      </c>
      <c r="C451" s="9" t="inlineStr">
        <is>
          <t>پایان ماه</t>
        </is>
      </c>
      <c r="D451" s="9" t="inlineStr">
        <is>
          <t>کنترل نهایی اسناد ماه آذر</t>
        </is>
      </c>
      <c r="E451" s="9" t="inlineStr">
        <is>
          <t>ماهانه</t>
        </is>
      </c>
      <c r="F451" s="9" t="inlineStr">
        <is>
          <t>آذر</t>
        </is>
      </c>
      <c r="G451" s="10" t="n">
        <v>46384</v>
      </c>
      <c r="H451" s="9" t="inlineStr">
        <is>
          <t>1405/10/07</t>
        </is>
      </c>
      <c r="I451" s="9" t="n">
        <v>5</v>
      </c>
      <c r="J451" s="10">
        <f>IF(G451="","",G451-I451)</f>
        <v/>
      </c>
      <c r="K451" s="9" t="inlineStr">
        <is>
          <t>بالا</t>
        </is>
      </c>
      <c r="L451" s="9" t="inlineStr">
        <is>
          <t>باز</t>
        </is>
      </c>
      <c r="M451" s="9">
        <f>IF(D451="","",IF(L451="انجام شده","انجام شده",IF(L451="لغو شده","لغو شده",IF(G451&lt;TODAY(),"عقب‌افتاده",IF(G451=TODAY(),"امروز",IF(G451&lt;=TODAY()+7,"تا ۷ روز",IF(G451&lt;=TODAY()+15,"تا ۱۵ روز","آینده")))))))</f>
        <v/>
      </c>
      <c r="N451" s="9" t="inlineStr"/>
      <c r="O451" s="9" t="n">
        <v>0</v>
      </c>
      <c r="P451" s="10" t="n"/>
      <c r="Q451" s="9" t="inlineStr"/>
      <c r="R451" s="9" t="inlineStr">
        <is>
          <t>پیش‌فرض 1405</t>
        </is>
      </c>
      <c r="S451" s="9" t="inlineStr">
        <is>
          <t>T102</t>
        </is>
      </c>
      <c r="T451" s="9" t="inlineStr">
        <is>
          <t>بله</t>
        </is>
      </c>
    </row>
    <row r="452">
      <c r="A452" s="9" t="inlineStr">
        <is>
          <t>1405-0451</t>
        </is>
      </c>
      <c r="B452" s="9" t="inlineStr">
        <is>
          <t>کیهان توسعه البرز</t>
        </is>
      </c>
      <c r="C452" s="9" t="inlineStr">
        <is>
          <t>پایان ماه</t>
        </is>
      </c>
      <c r="D452" s="9" t="inlineStr">
        <is>
          <t>بستن حساب‌های ماه آذر و کنترل مانده‌ها</t>
        </is>
      </c>
      <c r="E452" s="9" t="inlineStr">
        <is>
          <t>ماهانه</t>
        </is>
      </c>
      <c r="F452" s="9" t="inlineStr">
        <is>
          <t>آذر</t>
        </is>
      </c>
      <c r="G452" s="10" t="n">
        <v>46387</v>
      </c>
      <c r="H452" s="9" t="inlineStr">
        <is>
          <t>1405/10/10</t>
        </is>
      </c>
      <c r="I452" s="9" t="n">
        <v>7</v>
      </c>
      <c r="J452" s="10">
        <f>IF(G452="","",G452-I452)</f>
        <v/>
      </c>
      <c r="K452" s="9" t="inlineStr">
        <is>
          <t>بالا</t>
        </is>
      </c>
      <c r="L452" s="9" t="inlineStr">
        <is>
          <t>باز</t>
        </is>
      </c>
      <c r="M452" s="9">
        <f>IF(D452="","",IF(L452="انجام شده","انجام شده",IF(L452="لغو شده","لغو شده",IF(G452&lt;TODAY(),"عقب‌افتاده",IF(G452=TODAY(),"امروز",IF(G452&lt;=TODAY()+7,"تا ۷ روز",IF(G452&lt;=TODAY()+15,"تا ۱۵ روز","آینده")))))))</f>
        <v/>
      </c>
      <c r="N452" s="9" t="inlineStr"/>
      <c r="O452" s="9" t="n">
        <v>0</v>
      </c>
      <c r="P452" s="10" t="n"/>
      <c r="Q452" s="9" t="inlineStr"/>
      <c r="R452" s="9" t="inlineStr">
        <is>
          <t>پیش‌فرض 1405</t>
        </is>
      </c>
      <c r="S452" s="9" t="inlineStr">
        <is>
          <t>T103</t>
        </is>
      </c>
      <c r="T452" s="9" t="inlineStr">
        <is>
          <t>بله</t>
        </is>
      </c>
    </row>
    <row r="453">
      <c r="A453" s="9" t="inlineStr">
        <is>
          <t>1405-0452</t>
        </is>
      </c>
      <c r="B453" s="9" t="inlineStr">
        <is>
          <t>کیهان توسعه البرز</t>
        </is>
      </c>
      <c r="C453" s="9" t="inlineStr">
        <is>
          <t>گزارش</t>
        </is>
      </c>
      <c r="D453" s="9" t="inlineStr">
        <is>
          <t>تهیه گزارش مدیریت ماه آذر</t>
        </is>
      </c>
      <c r="E453" s="9" t="inlineStr">
        <is>
          <t>ماهانه</t>
        </is>
      </c>
      <c r="F453" s="9" t="inlineStr">
        <is>
          <t>آذر</t>
        </is>
      </c>
      <c r="G453" s="10" t="n">
        <v>46387</v>
      </c>
      <c r="H453" s="9" t="inlineStr">
        <is>
          <t>1405/10/10</t>
        </is>
      </c>
      <c r="I453" s="9" t="n">
        <v>5</v>
      </c>
      <c r="J453" s="10">
        <f>IF(G453="","",G453-I453)</f>
        <v/>
      </c>
      <c r="K453" s="9" t="inlineStr">
        <is>
          <t>متوسط</t>
        </is>
      </c>
      <c r="L453" s="9" t="inlineStr">
        <is>
          <t>باز</t>
        </is>
      </c>
      <c r="M453" s="9">
        <f>IF(D453="","",IF(L453="انجام شده","انجام شده",IF(L453="لغو شده","لغو شده",IF(G453&lt;TODAY(),"عقب‌افتاده",IF(G453=TODAY(),"امروز",IF(G453&lt;=TODAY()+7,"تا ۷ روز",IF(G453&lt;=TODAY()+15,"تا ۱۵ روز","آینده")))))))</f>
        <v/>
      </c>
      <c r="N453" s="9" t="inlineStr"/>
      <c r="O453" s="9" t="n">
        <v>0</v>
      </c>
      <c r="P453" s="10" t="n"/>
      <c r="Q453" s="9" t="inlineStr"/>
      <c r="R453" s="9" t="inlineStr">
        <is>
          <t>پیش‌فرض 1405</t>
        </is>
      </c>
      <c r="S453" s="9" t="inlineStr">
        <is>
          <t>T104</t>
        </is>
      </c>
      <c r="T453" s="9" t="inlineStr">
        <is>
          <t>بله</t>
        </is>
      </c>
    </row>
    <row r="454">
      <c r="A454" s="9" t="inlineStr">
        <is>
          <t>1405-0453</t>
        </is>
      </c>
      <c r="B454" s="9" t="inlineStr">
        <is>
          <t>کیهان توسعه البرز</t>
        </is>
      </c>
      <c r="C454" s="9" t="inlineStr">
        <is>
          <t>حقوق و دستمزد</t>
        </is>
      </c>
      <c r="D454" s="9" t="inlineStr">
        <is>
          <t>محاسبه حقوق و دستمزد ماه آذر</t>
        </is>
      </c>
      <c r="E454" s="9" t="inlineStr">
        <is>
          <t>ماهانه</t>
        </is>
      </c>
      <c r="F454" s="9" t="inlineStr">
        <is>
          <t>آذر</t>
        </is>
      </c>
      <c r="G454" s="10" t="n">
        <v>46375</v>
      </c>
      <c r="H454" s="9" t="inlineStr">
        <is>
          <t>1405/09/28</t>
        </is>
      </c>
      <c r="I454" s="9" t="n">
        <v>5</v>
      </c>
      <c r="J454" s="10">
        <f>IF(G454="","",G454-I454)</f>
        <v/>
      </c>
      <c r="K454" s="9" t="inlineStr">
        <is>
          <t>بالا</t>
        </is>
      </c>
      <c r="L454" s="9" t="inlineStr">
        <is>
          <t>باز</t>
        </is>
      </c>
      <c r="M454" s="9">
        <f>IF(D454="","",IF(L454="انجام شده","انجام شده",IF(L454="لغو شده","لغو شده",IF(G454&lt;TODAY(),"عقب‌افتاده",IF(G454=TODAY(),"امروز",IF(G454&lt;=TODAY()+7,"تا ۷ روز",IF(G454&lt;=TODAY()+15,"تا ۱۵ روز","آینده")))))))</f>
        <v/>
      </c>
      <c r="N454" s="9" t="inlineStr"/>
      <c r="O454" s="9" t="n">
        <v>0</v>
      </c>
      <c r="P454" s="10" t="n"/>
      <c r="Q454" s="9" t="inlineStr"/>
      <c r="R454" s="9" t="inlineStr">
        <is>
          <t>پیش‌فرض 1405</t>
        </is>
      </c>
      <c r="S454" s="9" t="inlineStr">
        <is>
          <t>T105</t>
        </is>
      </c>
      <c r="T454" s="9" t="inlineStr">
        <is>
          <t>بله</t>
        </is>
      </c>
    </row>
    <row r="455">
      <c r="A455" s="9" t="inlineStr">
        <is>
          <t>1405-0454</t>
        </is>
      </c>
      <c r="B455" s="9" t="inlineStr">
        <is>
          <t>کیهان توسعه البرز</t>
        </is>
      </c>
      <c r="C455" s="9" t="inlineStr">
        <is>
          <t>حقوق و دستمزد</t>
        </is>
      </c>
      <c r="D455" s="9" t="inlineStr">
        <is>
          <t>ارسال/پرداخت لیست بیمه ماه آذر</t>
        </is>
      </c>
      <c r="E455" s="9" t="inlineStr">
        <is>
          <t>ماهانه</t>
        </is>
      </c>
      <c r="F455" s="9" t="inlineStr">
        <is>
          <t>آذر</t>
        </is>
      </c>
      <c r="G455" s="10" t="n">
        <v>46407</v>
      </c>
      <c r="H455" s="9" t="inlineStr">
        <is>
          <t>1405/10/30</t>
        </is>
      </c>
      <c r="I455" s="9" t="n">
        <v>7</v>
      </c>
      <c r="J455" s="10">
        <f>IF(G455="","",G455-I455)</f>
        <v/>
      </c>
      <c r="K455" s="9" t="inlineStr">
        <is>
          <t>خیلی بالا</t>
        </is>
      </c>
      <c r="L455" s="9" t="inlineStr">
        <is>
          <t>باز</t>
        </is>
      </c>
      <c r="M455" s="9">
        <f>IF(D455="","",IF(L455="انجام شده","انجام شده",IF(L455="لغو شده","لغو شده",IF(G455&lt;TODAY(),"عقب‌افتاده",IF(G455=TODAY(),"امروز",IF(G455&lt;=TODAY()+7,"تا ۷ روز",IF(G455&lt;=TODAY()+15,"تا ۱۵ روز","آینده")))))))</f>
        <v/>
      </c>
      <c r="N455" s="9" t="inlineStr"/>
      <c r="O455" s="9" t="n">
        <v>0</v>
      </c>
      <c r="P455" s="10" t="n"/>
      <c r="Q455" s="9" t="inlineStr"/>
      <c r="R455" s="9" t="inlineStr">
        <is>
          <t>پیش‌فرض 1405</t>
        </is>
      </c>
      <c r="S455" s="9" t="inlineStr">
        <is>
          <t>T106</t>
        </is>
      </c>
      <c r="T455" s="9" t="inlineStr">
        <is>
          <t>بله</t>
        </is>
      </c>
    </row>
    <row r="456">
      <c r="A456" s="9" t="inlineStr">
        <is>
          <t>1405-0455</t>
        </is>
      </c>
      <c r="B456" s="9" t="inlineStr">
        <is>
          <t>کیهان توسعه البرز</t>
        </is>
      </c>
      <c r="C456" s="9" t="inlineStr">
        <is>
          <t>حقوق و دستمزد</t>
        </is>
      </c>
      <c r="D456" s="9" t="inlineStr">
        <is>
          <t>ارسال/پرداخت مالیات حقوق ماه آذر</t>
        </is>
      </c>
      <c r="E456" s="9" t="inlineStr">
        <is>
          <t>ماهانه</t>
        </is>
      </c>
      <c r="F456" s="9" t="inlineStr">
        <is>
          <t>آذر</t>
        </is>
      </c>
      <c r="G456" s="10" t="n">
        <v>46407</v>
      </c>
      <c r="H456" s="9" t="inlineStr">
        <is>
          <t>1405/10/30</t>
        </is>
      </c>
      <c r="I456" s="9" t="n">
        <v>7</v>
      </c>
      <c r="J456" s="10">
        <f>IF(G456="","",G456-I456)</f>
        <v/>
      </c>
      <c r="K456" s="9" t="inlineStr">
        <is>
          <t>خیلی بالا</t>
        </is>
      </c>
      <c r="L456" s="9" t="inlineStr">
        <is>
          <t>باز</t>
        </is>
      </c>
      <c r="M456" s="9">
        <f>IF(D456="","",IF(L456="انجام شده","انجام شده",IF(L456="لغو شده","لغو شده",IF(G456&lt;TODAY(),"عقب‌افتاده",IF(G456=TODAY(),"امروز",IF(G456&lt;=TODAY()+7,"تا ۷ روز",IF(G456&lt;=TODAY()+15,"تا ۱۵ روز","آینده")))))))</f>
        <v/>
      </c>
      <c r="N456" s="9" t="inlineStr"/>
      <c r="O456" s="9" t="n">
        <v>0</v>
      </c>
      <c r="P456" s="10" t="n"/>
      <c r="Q456" s="9" t="inlineStr"/>
      <c r="R456" s="9" t="inlineStr">
        <is>
          <t>پیش‌فرض 1405</t>
        </is>
      </c>
      <c r="S456" s="9" t="inlineStr">
        <is>
          <t>T107</t>
        </is>
      </c>
      <c r="T456" s="9" t="inlineStr">
        <is>
          <t>بله</t>
        </is>
      </c>
    </row>
    <row r="457">
      <c r="A457" s="9" t="inlineStr">
        <is>
          <t>1405-0456</t>
        </is>
      </c>
      <c r="B457" s="9" t="inlineStr">
        <is>
          <t>کیهان توسعه البرز</t>
        </is>
      </c>
      <c r="C457" s="9" t="inlineStr">
        <is>
          <t>بایگانی</t>
        </is>
      </c>
      <c r="D457" s="9" t="inlineStr">
        <is>
          <t>بایگانی مدارک و اسناد ماه آذر</t>
        </is>
      </c>
      <c r="E457" s="9" t="inlineStr">
        <is>
          <t>ماهانه</t>
        </is>
      </c>
      <c r="F457" s="9" t="inlineStr">
        <is>
          <t>آذر</t>
        </is>
      </c>
      <c r="G457" s="10" t="n">
        <v>46392</v>
      </c>
      <c r="H457" s="9" t="inlineStr">
        <is>
          <t>1405/10/15</t>
        </is>
      </c>
      <c r="I457" s="9" t="n">
        <v>3</v>
      </c>
      <c r="J457" s="10">
        <f>IF(G457="","",G457-I457)</f>
        <v/>
      </c>
      <c r="K457" s="9" t="inlineStr">
        <is>
          <t>متوسط</t>
        </is>
      </c>
      <c r="L457" s="9" t="inlineStr">
        <is>
          <t>باز</t>
        </is>
      </c>
      <c r="M457" s="9">
        <f>IF(D457="","",IF(L457="انجام شده","انجام شده",IF(L457="لغو شده","لغو شده",IF(G457&lt;TODAY(),"عقب‌افتاده",IF(G457=TODAY(),"امروز",IF(G457&lt;=TODAY()+7,"تا ۷ روز",IF(G457&lt;=TODAY()+15,"تا ۱۵ روز","آینده")))))))</f>
        <v/>
      </c>
      <c r="N457" s="9" t="inlineStr"/>
      <c r="O457" s="9" t="n">
        <v>0</v>
      </c>
      <c r="P457" s="10" t="n"/>
      <c r="Q457" s="9" t="inlineStr"/>
      <c r="R457" s="9" t="inlineStr">
        <is>
          <t>پیش‌فرض 1405</t>
        </is>
      </c>
      <c r="S457" s="9" t="inlineStr">
        <is>
          <t>T108</t>
        </is>
      </c>
      <c r="T457" s="9" t="inlineStr">
        <is>
          <t>بله</t>
        </is>
      </c>
    </row>
    <row r="458">
      <c r="A458" s="9" t="inlineStr">
        <is>
          <t>1405-0457</t>
        </is>
      </c>
      <c r="B458" s="9" t="inlineStr">
        <is>
          <t>کیهان توسعه البرز</t>
        </is>
      </c>
      <c r="C458" s="9" t="inlineStr">
        <is>
          <t>پایان ماه</t>
        </is>
      </c>
      <c r="D458" s="9" t="inlineStr">
        <is>
          <t>مغایرت‌گیری بانکی ماه دی</t>
        </is>
      </c>
      <c r="E458" s="9" t="inlineStr">
        <is>
          <t>ماهانه</t>
        </is>
      </c>
      <c r="F458" s="9" t="inlineStr">
        <is>
          <t>دی</t>
        </is>
      </c>
      <c r="G458" s="10" t="n">
        <v>46412</v>
      </c>
      <c r="H458" s="9" t="inlineStr">
        <is>
          <t>1405/11/05</t>
        </is>
      </c>
      <c r="I458" s="9" t="n">
        <v>5</v>
      </c>
      <c r="J458" s="10">
        <f>IF(G458="","",G458-I458)</f>
        <v/>
      </c>
      <c r="K458" s="9" t="inlineStr">
        <is>
          <t>بالا</t>
        </is>
      </c>
      <c r="L458" s="9" t="inlineStr">
        <is>
          <t>باز</t>
        </is>
      </c>
      <c r="M458" s="9">
        <f>IF(D458="","",IF(L458="انجام شده","انجام شده",IF(L458="لغو شده","لغو شده",IF(G458&lt;TODAY(),"عقب‌افتاده",IF(G458=TODAY(),"امروز",IF(G458&lt;=TODAY()+7,"تا ۷ روز",IF(G458&lt;=TODAY()+15,"تا ۱۵ روز","آینده")))))))</f>
        <v/>
      </c>
      <c r="N458" s="9" t="inlineStr"/>
      <c r="O458" s="9" t="n">
        <v>0</v>
      </c>
      <c r="P458" s="10" t="n"/>
      <c r="Q458" s="9" t="inlineStr"/>
      <c r="R458" s="9" t="inlineStr">
        <is>
          <t>پیش‌فرض 1405</t>
        </is>
      </c>
      <c r="S458" s="9" t="inlineStr">
        <is>
          <t>T101</t>
        </is>
      </c>
      <c r="T458" s="9" t="inlineStr">
        <is>
          <t>بله</t>
        </is>
      </c>
    </row>
    <row r="459">
      <c r="A459" s="9" t="inlineStr">
        <is>
          <t>1405-0458</t>
        </is>
      </c>
      <c r="B459" s="9" t="inlineStr">
        <is>
          <t>کیهان توسعه البرز</t>
        </is>
      </c>
      <c r="C459" s="9" t="inlineStr">
        <is>
          <t>پایان ماه</t>
        </is>
      </c>
      <c r="D459" s="9" t="inlineStr">
        <is>
          <t>کنترل نهایی اسناد ماه دی</t>
        </is>
      </c>
      <c r="E459" s="9" t="inlineStr">
        <is>
          <t>ماهانه</t>
        </is>
      </c>
      <c r="F459" s="9" t="inlineStr">
        <is>
          <t>دی</t>
        </is>
      </c>
      <c r="G459" s="10" t="n">
        <v>46414</v>
      </c>
      <c r="H459" s="9" t="inlineStr">
        <is>
          <t>1405/11/07</t>
        </is>
      </c>
      <c r="I459" s="9" t="n">
        <v>5</v>
      </c>
      <c r="J459" s="10">
        <f>IF(G459="","",G459-I459)</f>
        <v/>
      </c>
      <c r="K459" s="9" t="inlineStr">
        <is>
          <t>بالا</t>
        </is>
      </c>
      <c r="L459" s="9" t="inlineStr">
        <is>
          <t>باز</t>
        </is>
      </c>
      <c r="M459" s="9">
        <f>IF(D459="","",IF(L459="انجام شده","انجام شده",IF(L459="لغو شده","لغو شده",IF(G459&lt;TODAY(),"عقب‌افتاده",IF(G459=TODAY(),"امروز",IF(G459&lt;=TODAY()+7,"تا ۷ روز",IF(G459&lt;=TODAY()+15,"تا ۱۵ روز","آینده")))))))</f>
        <v/>
      </c>
      <c r="N459" s="9" t="inlineStr"/>
      <c r="O459" s="9" t="n">
        <v>0</v>
      </c>
      <c r="P459" s="10" t="n"/>
      <c r="Q459" s="9" t="inlineStr"/>
      <c r="R459" s="9" t="inlineStr">
        <is>
          <t>پیش‌فرض 1405</t>
        </is>
      </c>
      <c r="S459" s="9" t="inlineStr">
        <is>
          <t>T102</t>
        </is>
      </c>
      <c r="T459" s="9" t="inlineStr">
        <is>
          <t>بله</t>
        </is>
      </c>
    </row>
    <row r="460">
      <c r="A460" s="9" t="inlineStr">
        <is>
          <t>1405-0459</t>
        </is>
      </c>
      <c r="B460" s="9" t="inlineStr">
        <is>
          <t>کیهان توسعه البرز</t>
        </is>
      </c>
      <c r="C460" s="9" t="inlineStr">
        <is>
          <t>پایان ماه</t>
        </is>
      </c>
      <c r="D460" s="9" t="inlineStr">
        <is>
          <t>بستن حساب‌های ماه دی و کنترل مانده‌ها</t>
        </is>
      </c>
      <c r="E460" s="9" t="inlineStr">
        <is>
          <t>ماهانه</t>
        </is>
      </c>
      <c r="F460" s="9" t="inlineStr">
        <is>
          <t>دی</t>
        </is>
      </c>
      <c r="G460" s="10" t="n">
        <v>46417</v>
      </c>
      <c r="H460" s="9" t="inlineStr">
        <is>
          <t>1405/11/10</t>
        </is>
      </c>
      <c r="I460" s="9" t="n">
        <v>7</v>
      </c>
      <c r="J460" s="10">
        <f>IF(G460="","",G460-I460)</f>
        <v/>
      </c>
      <c r="K460" s="9" t="inlineStr">
        <is>
          <t>بالا</t>
        </is>
      </c>
      <c r="L460" s="9" t="inlineStr">
        <is>
          <t>باز</t>
        </is>
      </c>
      <c r="M460" s="9">
        <f>IF(D460="","",IF(L460="انجام شده","انجام شده",IF(L460="لغو شده","لغو شده",IF(G460&lt;TODAY(),"عقب‌افتاده",IF(G460=TODAY(),"امروز",IF(G460&lt;=TODAY()+7,"تا ۷ روز",IF(G460&lt;=TODAY()+15,"تا ۱۵ روز","آینده")))))))</f>
        <v/>
      </c>
      <c r="N460" s="9" t="inlineStr"/>
      <c r="O460" s="9" t="n">
        <v>0</v>
      </c>
      <c r="P460" s="10" t="n"/>
      <c r="Q460" s="9" t="inlineStr"/>
      <c r="R460" s="9" t="inlineStr">
        <is>
          <t>پیش‌فرض 1405</t>
        </is>
      </c>
      <c r="S460" s="9" t="inlineStr">
        <is>
          <t>T103</t>
        </is>
      </c>
      <c r="T460" s="9" t="inlineStr">
        <is>
          <t>بله</t>
        </is>
      </c>
    </row>
    <row r="461">
      <c r="A461" s="9" t="inlineStr">
        <is>
          <t>1405-0460</t>
        </is>
      </c>
      <c r="B461" s="9" t="inlineStr">
        <is>
          <t>کیهان توسعه البرز</t>
        </is>
      </c>
      <c r="C461" s="9" t="inlineStr">
        <is>
          <t>گزارش</t>
        </is>
      </c>
      <c r="D461" s="9" t="inlineStr">
        <is>
          <t>تهیه گزارش مدیریت ماه دی</t>
        </is>
      </c>
      <c r="E461" s="9" t="inlineStr">
        <is>
          <t>ماهانه</t>
        </is>
      </c>
      <c r="F461" s="9" t="inlineStr">
        <is>
          <t>دی</t>
        </is>
      </c>
      <c r="G461" s="10" t="n">
        <v>46417</v>
      </c>
      <c r="H461" s="9" t="inlineStr">
        <is>
          <t>1405/11/10</t>
        </is>
      </c>
      <c r="I461" s="9" t="n">
        <v>5</v>
      </c>
      <c r="J461" s="10">
        <f>IF(G461="","",G461-I461)</f>
        <v/>
      </c>
      <c r="K461" s="9" t="inlineStr">
        <is>
          <t>متوسط</t>
        </is>
      </c>
      <c r="L461" s="9" t="inlineStr">
        <is>
          <t>باز</t>
        </is>
      </c>
      <c r="M461" s="9">
        <f>IF(D461="","",IF(L461="انجام شده","انجام شده",IF(L461="لغو شده","لغو شده",IF(G461&lt;TODAY(),"عقب‌افتاده",IF(G461=TODAY(),"امروز",IF(G461&lt;=TODAY()+7,"تا ۷ روز",IF(G461&lt;=TODAY()+15,"تا ۱۵ روز","آینده")))))))</f>
        <v/>
      </c>
      <c r="N461" s="9" t="inlineStr"/>
      <c r="O461" s="9" t="n">
        <v>0</v>
      </c>
      <c r="P461" s="10" t="n"/>
      <c r="Q461" s="9" t="inlineStr"/>
      <c r="R461" s="9" t="inlineStr">
        <is>
          <t>پیش‌فرض 1405</t>
        </is>
      </c>
      <c r="S461" s="9" t="inlineStr">
        <is>
          <t>T104</t>
        </is>
      </c>
      <c r="T461" s="9" t="inlineStr">
        <is>
          <t>بله</t>
        </is>
      </c>
    </row>
    <row r="462">
      <c r="A462" s="9" t="inlineStr">
        <is>
          <t>1405-0461</t>
        </is>
      </c>
      <c r="B462" s="9" t="inlineStr">
        <is>
          <t>کیهان توسعه البرز</t>
        </is>
      </c>
      <c r="C462" s="9" t="inlineStr">
        <is>
          <t>حقوق و دستمزد</t>
        </is>
      </c>
      <c r="D462" s="9" t="inlineStr">
        <is>
          <t>محاسبه حقوق و دستمزد ماه دی</t>
        </is>
      </c>
      <c r="E462" s="9" t="inlineStr">
        <is>
          <t>ماهانه</t>
        </is>
      </c>
      <c r="F462" s="9" t="inlineStr">
        <is>
          <t>دی</t>
        </is>
      </c>
      <c r="G462" s="10" t="n">
        <v>46405</v>
      </c>
      <c r="H462" s="9" t="inlineStr">
        <is>
          <t>1405/10/28</t>
        </is>
      </c>
      <c r="I462" s="9" t="n">
        <v>5</v>
      </c>
      <c r="J462" s="10">
        <f>IF(G462="","",G462-I462)</f>
        <v/>
      </c>
      <c r="K462" s="9" t="inlineStr">
        <is>
          <t>بالا</t>
        </is>
      </c>
      <c r="L462" s="9" t="inlineStr">
        <is>
          <t>باز</t>
        </is>
      </c>
      <c r="M462" s="9">
        <f>IF(D462="","",IF(L462="انجام شده","انجام شده",IF(L462="لغو شده","لغو شده",IF(G462&lt;TODAY(),"عقب‌افتاده",IF(G462=TODAY(),"امروز",IF(G462&lt;=TODAY()+7,"تا ۷ روز",IF(G462&lt;=TODAY()+15,"تا ۱۵ روز","آینده")))))))</f>
        <v/>
      </c>
      <c r="N462" s="9" t="inlineStr"/>
      <c r="O462" s="9" t="n">
        <v>0</v>
      </c>
      <c r="P462" s="10" t="n"/>
      <c r="Q462" s="9" t="inlineStr"/>
      <c r="R462" s="9" t="inlineStr">
        <is>
          <t>پیش‌فرض 1405</t>
        </is>
      </c>
      <c r="S462" s="9" t="inlineStr">
        <is>
          <t>T105</t>
        </is>
      </c>
      <c r="T462" s="9" t="inlineStr">
        <is>
          <t>بله</t>
        </is>
      </c>
    </row>
    <row r="463">
      <c r="A463" s="9" t="inlineStr">
        <is>
          <t>1405-0462</t>
        </is>
      </c>
      <c r="B463" s="9" t="inlineStr">
        <is>
          <t>کیهان توسعه البرز</t>
        </is>
      </c>
      <c r="C463" s="9" t="inlineStr">
        <is>
          <t>حقوق و دستمزد</t>
        </is>
      </c>
      <c r="D463" s="9" t="inlineStr">
        <is>
          <t>ارسال/پرداخت لیست بیمه ماه دی</t>
        </is>
      </c>
      <c r="E463" s="9" t="inlineStr">
        <is>
          <t>ماهانه</t>
        </is>
      </c>
      <c r="F463" s="9" t="inlineStr">
        <is>
          <t>دی</t>
        </is>
      </c>
      <c r="G463" s="10" t="n">
        <v>46437</v>
      </c>
      <c r="H463" s="9" t="inlineStr">
        <is>
          <t>1405/11/30</t>
        </is>
      </c>
      <c r="I463" s="9" t="n">
        <v>7</v>
      </c>
      <c r="J463" s="10">
        <f>IF(G463="","",G463-I463)</f>
        <v/>
      </c>
      <c r="K463" s="9" t="inlineStr">
        <is>
          <t>خیلی بالا</t>
        </is>
      </c>
      <c r="L463" s="9" t="inlineStr">
        <is>
          <t>باز</t>
        </is>
      </c>
      <c r="M463" s="9">
        <f>IF(D463="","",IF(L463="انجام شده","انجام شده",IF(L463="لغو شده","لغو شده",IF(G463&lt;TODAY(),"عقب‌افتاده",IF(G463=TODAY(),"امروز",IF(G463&lt;=TODAY()+7,"تا ۷ روز",IF(G463&lt;=TODAY()+15,"تا ۱۵ روز","آینده")))))))</f>
        <v/>
      </c>
      <c r="N463" s="9" t="inlineStr"/>
      <c r="O463" s="9" t="n">
        <v>0</v>
      </c>
      <c r="P463" s="10" t="n"/>
      <c r="Q463" s="9" t="inlineStr"/>
      <c r="R463" s="9" t="inlineStr">
        <is>
          <t>پیش‌فرض 1405</t>
        </is>
      </c>
      <c r="S463" s="9" t="inlineStr">
        <is>
          <t>T106</t>
        </is>
      </c>
      <c r="T463" s="9" t="inlineStr">
        <is>
          <t>بله</t>
        </is>
      </c>
    </row>
    <row r="464">
      <c r="A464" s="9" t="inlineStr">
        <is>
          <t>1405-0463</t>
        </is>
      </c>
      <c r="B464" s="9" t="inlineStr">
        <is>
          <t>کیهان توسعه البرز</t>
        </is>
      </c>
      <c r="C464" s="9" t="inlineStr">
        <is>
          <t>حقوق و دستمزد</t>
        </is>
      </c>
      <c r="D464" s="9" t="inlineStr">
        <is>
          <t>ارسال/پرداخت مالیات حقوق ماه دی</t>
        </is>
      </c>
      <c r="E464" s="9" t="inlineStr">
        <is>
          <t>ماهانه</t>
        </is>
      </c>
      <c r="F464" s="9" t="inlineStr">
        <is>
          <t>دی</t>
        </is>
      </c>
      <c r="G464" s="10" t="n">
        <v>46437</v>
      </c>
      <c r="H464" s="9" t="inlineStr">
        <is>
          <t>1405/11/30</t>
        </is>
      </c>
      <c r="I464" s="9" t="n">
        <v>7</v>
      </c>
      <c r="J464" s="10">
        <f>IF(G464="","",G464-I464)</f>
        <v/>
      </c>
      <c r="K464" s="9" t="inlineStr">
        <is>
          <t>خیلی بالا</t>
        </is>
      </c>
      <c r="L464" s="9" t="inlineStr">
        <is>
          <t>باز</t>
        </is>
      </c>
      <c r="M464" s="9">
        <f>IF(D464="","",IF(L464="انجام شده","انجام شده",IF(L464="لغو شده","لغو شده",IF(G464&lt;TODAY(),"عقب‌افتاده",IF(G464=TODAY(),"امروز",IF(G464&lt;=TODAY()+7,"تا ۷ روز",IF(G464&lt;=TODAY()+15,"تا ۱۵ روز","آینده")))))))</f>
        <v/>
      </c>
      <c r="N464" s="9" t="inlineStr"/>
      <c r="O464" s="9" t="n">
        <v>0</v>
      </c>
      <c r="P464" s="10" t="n"/>
      <c r="Q464" s="9" t="inlineStr"/>
      <c r="R464" s="9" t="inlineStr">
        <is>
          <t>پیش‌فرض 1405</t>
        </is>
      </c>
      <c r="S464" s="9" t="inlineStr">
        <is>
          <t>T107</t>
        </is>
      </c>
      <c r="T464" s="9" t="inlineStr">
        <is>
          <t>بله</t>
        </is>
      </c>
    </row>
    <row r="465">
      <c r="A465" s="9" t="inlineStr">
        <is>
          <t>1405-0464</t>
        </is>
      </c>
      <c r="B465" s="9" t="inlineStr">
        <is>
          <t>کیهان توسعه البرز</t>
        </is>
      </c>
      <c r="C465" s="9" t="inlineStr">
        <is>
          <t>بایگانی</t>
        </is>
      </c>
      <c r="D465" s="9" t="inlineStr">
        <is>
          <t>بایگانی مدارک و اسناد ماه دی</t>
        </is>
      </c>
      <c r="E465" s="9" t="inlineStr">
        <is>
          <t>ماهانه</t>
        </is>
      </c>
      <c r="F465" s="9" t="inlineStr">
        <is>
          <t>دی</t>
        </is>
      </c>
      <c r="G465" s="10" t="n">
        <v>46422</v>
      </c>
      <c r="H465" s="9" t="inlineStr">
        <is>
          <t>1405/11/15</t>
        </is>
      </c>
      <c r="I465" s="9" t="n">
        <v>3</v>
      </c>
      <c r="J465" s="10">
        <f>IF(G465="","",G465-I465)</f>
        <v/>
      </c>
      <c r="K465" s="9" t="inlineStr">
        <is>
          <t>متوسط</t>
        </is>
      </c>
      <c r="L465" s="9" t="inlineStr">
        <is>
          <t>باز</t>
        </is>
      </c>
      <c r="M465" s="9">
        <f>IF(D465="","",IF(L465="انجام شده","انجام شده",IF(L465="لغو شده","لغو شده",IF(G465&lt;TODAY(),"عقب‌افتاده",IF(G465=TODAY(),"امروز",IF(G465&lt;=TODAY()+7,"تا ۷ روز",IF(G465&lt;=TODAY()+15,"تا ۱۵ روز","آینده")))))))</f>
        <v/>
      </c>
      <c r="N465" s="9" t="inlineStr"/>
      <c r="O465" s="9" t="n">
        <v>0</v>
      </c>
      <c r="P465" s="10" t="n"/>
      <c r="Q465" s="9" t="inlineStr"/>
      <c r="R465" s="9" t="inlineStr">
        <is>
          <t>پیش‌فرض 1405</t>
        </is>
      </c>
      <c r="S465" s="9" t="inlineStr">
        <is>
          <t>T108</t>
        </is>
      </c>
      <c r="T465" s="9" t="inlineStr">
        <is>
          <t>بله</t>
        </is>
      </c>
    </row>
    <row r="466">
      <c r="A466" s="9" t="inlineStr">
        <is>
          <t>1405-0465</t>
        </is>
      </c>
      <c r="B466" s="9" t="inlineStr">
        <is>
          <t>کیهان توسعه البرز</t>
        </is>
      </c>
      <c r="C466" s="9" t="inlineStr">
        <is>
          <t>پایان ماه</t>
        </is>
      </c>
      <c r="D466" s="9" t="inlineStr">
        <is>
          <t>مغایرت‌گیری بانکی ماه بهمن</t>
        </is>
      </c>
      <c r="E466" s="9" t="inlineStr">
        <is>
          <t>ماهانه</t>
        </is>
      </c>
      <c r="F466" s="9" t="inlineStr">
        <is>
          <t>بهمن</t>
        </is>
      </c>
      <c r="G466" s="10" t="n">
        <v>46442</v>
      </c>
      <c r="H466" s="9" t="inlineStr">
        <is>
          <t>1405/12/05</t>
        </is>
      </c>
      <c r="I466" s="9" t="n">
        <v>5</v>
      </c>
      <c r="J466" s="10">
        <f>IF(G466="","",G466-I466)</f>
        <v/>
      </c>
      <c r="K466" s="9" t="inlineStr">
        <is>
          <t>بالا</t>
        </is>
      </c>
      <c r="L466" s="9" t="inlineStr">
        <is>
          <t>باز</t>
        </is>
      </c>
      <c r="M466" s="9">
        <f>IF(D466="","",IF(L466="انجام شده","انجام شده",IF(L466="لغو شده","لغو شده",IF(G466&lt;TODAY(),"عقب‌افتاده",IF(G466=TODAY(),"امروز",IF(G466&lt;=TODAY()+7,"تا ۷ روز",IF(G466&lt;=TODAY()+15,"تا ۱۵ روز","آینده")))))))</f>
        <v/>
      </c>
      <c r="N466" s="9" t="inlineStr"/>
      <c r="O466" s="9" t="n">
        <v>0</v>
      </c>
      <c r="P466" s="10" t="n"/>
      <c r="Q466" s="9" t="inlineStr"/>
      <c r="R466" s="9" t="inlineStr">
        <is>
          <t>پیش‌فرض 1405</t>
        </is>
      </c>
      <c r="S466" s="9" t="inlineStr">
        <is>
          <t>T101</t>
        </is>
      </c>
      <c r="T466" s="9" t="inlineStr">
        <is>
          <t>بله</t>
        </is>
      </c>
    </row>
    <row r="467">
      <c r="A467" s="9" t="inlineStr">
        <is>
          <t>1405-0466</t>
        </is>
      </c>
      <c r="B467" s="9" t="inlineStr">
        <is>
          <t>کیهان توسعه البرز</t>
        </is>
      </c>
      <c r="C467" s="9" t="inlineStr">
        <is>
          <t>پایان ماه</t>
        </is>
      </c>
      <c r="D467" s="9" t="inlineStr">
        <is>
          <t>کنترل نهایی اسناد ماه بهمن</t>
        </is>
      </c>
      <c r="E467" s="9" t="inlineStr">
        <is>
          <t>ماهانه</t>
        </is>
      </c>
      <c r="F467" s="9" t="inlineStr">
        <is>
          <t>بهمن</t>
        </is>
      </c>
      <c r="G467" s="10" t="n">
        <v>46444</v>
      </c>
      <c r="H467" s="9" t="inlineStr">
        <is>
          <t>1405/12/07</t>
        </is>
      </c>
      <c r="I467" s="9" t="n">
        <v>5</v>
      </c>
      <c r="J467" s="10">
        <f>IF(G467="","",G467-I467)</f>
        <v/>
      </c>
      <c r="K467" s="9" t="inlineStr">
        <is>
          <t>بالا</t>
        </is>
      </c>
      <c r="L467" s="9" t="inlineStr">
        <is>
          <t>باز</t>
        </is>
      </c>
      <c r="M467" s="9">
        <f>IF(D467="","",IF(L467="انجام شده","انجام شده",IF(L467="لغو شده","لغو شده",IF(G467&lt;TODAY(),"عقب‌افتاده",IF(G467=TODAY(),"امروز",IF(G467&lt;=TODAY()+7,"تا ۷ روز",IF(G467&lt;=TODAY()+15,"تا ۱۵ روز","آینده")))))))</f>
        <v/>
      </c>
      <c r="N467" s="9" t="inlineStr"/>
      <c r="O467" s="9" t="n">
        <v>0</v>
      </c>
      <c r="P467" s="10" t="n"/>
      <c r="Q467" s="9" t="inlineStr"/>
      <c r="R467" s="9" t="inlineStr">
        <is>
          <t>پیش‌فرض 1405</t>
        </is>
      </c>
      <c r="S467" s="9" t="inlineStr">
        <is>
          <t>T102</t>
        </is>
      </c>
      <c r="T467" s="9" t="inlineStr">
        <is>
          <t>بله</t>
        </is>
      </c>
    </row>
    <row r="468">
      <c r="A468" s="9" t="inlineStr">
        <is>
          <t>1405-0467</t>
        </is>
      </c>
      <c r="B468" s="9" t="inlineStr">
        <is>
          <t>کیهان توسعه البرز</t>
        </is>
      </c>
      <c r="C468" s="9" t="inlineStr">
        <is>
          <t>پایان ماه</t>
        </is>
      </c>
      <c r="D468" s="9" t="inlineStr">
        <is>
          <t>بستن حساب‌های ماه بهمن و کنترل مانده‌ها</t>
        </is>
      </c>
      <c r="E468" s="9" t="inlineStr">
        <is>
          <t>ماهانه</t>
        </is>
      </c>
      <c r="F468" s="9" t="inlineStr">
        <is>
          <t>بهمن</t>
        </is>
      </c>
      <c r="G468" s="10" t="n">
        <v>46447</v>
      </c>
      <c r="H468" s="9" t="inlineStr">
        <is>
          <t>1405/12/10</t>
        </is>
      </c>
      <c r="I468" s="9" t="n">
        <v>7</v>
      </c>
      <c r="J468" s="10">
        <f>IF(G468="","",G468-I468)</f>
        <v/>
      </c>
      <c r="K468" s="9" t="inlineStr">
        <is>
          <t>بالا</t>
        </is>
      </c>
      <c r="L468" s="9" t="inlineStr">
        <is>
          <t>باز</t>
        </is>
      </c>
      <c r="M468" s="9">
        <f>IF(D468="","",IF(L468="انجام شده","انجام شده",IF(L468="لغو شده","لغو شده",IF(G468&lt;TODAY(),"عقب‌افتاده",IF(G468=TODAY(),"امروز",IF(G468&lt;=TODAY()+7,"تا ۷ روز",IF(G468&lt;=TODAY()+15,"تا ۱۵ روز","آینده")))))))</f>
        <v/>
      </c>
      <c r="N468" s="9" t="inlineStr"/>
      <c r="O468" s="9" t="n">
        <v>0</v>
      </c>
      <c r="P468" s="10" t="n"/>
      <c r="Q468" s="9" t="inlineStr"/>
      <c r="R468" s="9" t="inlineStr">
        <is>
          <t>پیش‌فرض 1405</t>
        </is>
      </c>
      <c r="S468" s="9" t="inlineStr">
        <is>
          <t>T103</t>
        </is>
      </c>
      <c r="T468" s="9" t="inlineStr">
        <is>
          <t>بله</t>
        </is>
      </c>
    </row>
    <row r="469">
      <c r="A469" s="9" t="inlineStr">
        <is>
          <t>1405-0468</t>
        </is>
      </c>
      <c r="B469" s="9" t="inlineStr">
        <is>
          <t>کیهان توسعه البرز</t>
        </is>
      </c>
      <c r="C469" s="9" t="inlineStr">
        <is>
          <t>گزارش</t>
        </is>
      </c>
      <c r="D469" s="9" t="inlineStr">
        <is>
          <t>تهیه گزارش مدیریت ماه بهمن</t>
        </is>
      </c>
      <c r="E469" s="9" t="inlineStr">
        <is>
          <t>ماهانه</t>
        </is>
      </c>
      <c r="F469" s="9" t="inlineStr">
        <is>
          <t>بهمن</t>
        </is>
      </c>
      <c r="G469" s="10" t="n">
        <v>46447</v>
      </c>
      <c r="H469" s="9" t="inlineStr">
        <is>
          <t>1405/12/10</t>
        </is>
      </c>
      <c r="I469" s="9" t="n">
        <v>5</v>
      </c>
      <c r="J469" s="10">
        <f>IF(G469="","",G469-I469)</f>
        <v/>
      </c>
      <c r="K469" s="9" t="inlineStr">
        <is>
          <t>متوسط</t>
        </is>
      </c>
      <c r="L469" s="9" t="inlineStr">
        <is>
          <t>باز</t>
        </is>
      </c>
      <c r="M469" s="9">
        <f>IF(D469="","",IF(L469="انجام شده","انجام شده",IF(L469="لغو شده","لغو شده",IF(G469&lt;TODAY(),"عقب‌افتاده",IF(G469=TODAY(),"امروز",IF(G469&lt;=TODAY()+7,"تا ۷ روز",IF(G469&lt;=TODAY()+15,"تا ۱۵ روز","آینده")))))))</f>
        <v/>
      </c>
      <c r="N469" s="9" t="inlineStr"/>
      <c r="O469" s="9" t="n">
        <v>0</v>
      </c>
      <c r="P469" s="10" t="n"/>
      <c r="Q469" s="9" t="inlineStr"/>
      <c r="R469" s="9" t="inlineStr">
        <is>
          <t>پیش‌فرض 1405</t>
        </is>
      </c>
      <c r="S469" s="9" t="inlineStr">
        <is>
          <t>T104</t>
        </is>
      </c>
      <c r="T469" s="9" t="inlineStr">
        <is>
          <t>بله</t>
        </is>
      </c>
    </row>
    <row r="470">
      <c r="A470" s="9" t="inlineStr">
        <is>
          <t>1405-0469</t>
        </is>
      </c>
      <c r="B470" s="9" t="inlineStr">
        <is>
          <t>کیهان توسعه البرز</t>
        </is>
      </c>
      <c r="C470" s="9" t="inlineStr">
        <is>
          <t>حقوق و دستمزد</t>
        </is>
      </c>
      <c r="D470" s="9" t="inlineStr">
        <is>
          <t>محاسبه حقوق و دستمزد ماه بهمن</t>
        </is>
      </c>
      <c r="E470" s="9" t="inlineStr">
        <is>
          <t>ماهانه</t>
        </is>
      </c>
      <c r="F470" s="9" t="inlineStr">
        <is>
          <t>بهمن</t>
        </is>
      </c>
      <c r="G470" s="10" t="n">
        <v>46435</v>
      </c>
      <c r="H470" s="9" t="inlineStr">
        <is>
          <t>1405/11/28</t>
        </is>
      </c>
      <c r="I470" s="9" t="n">
        <v>5</v>
      </c>
      <c r="J470" s="10">
        <f>IF(G470="","",G470-I470)</f>
        <v/>
      </c>
      <c r="K470" s="9" t="inlineStr">
        <is>
          <t>بالا</t>
        </is>
      </c>
      <c r="L470" s="9" t="inlineStr">
        <is>
          <t>باز</t>
        </is>
      </c>
      <c r="M470" s="9">
        <f>IF(D470="","",IF(L470="انجام شده","انجام شده",IF(L470="لغو شده","لغو شده",IF(G470&lt;TODAY(),"عقب‌افتاده",IF(G470=TODAY(),"امروز",IF(G470&lt;=TODAY()+7,"تا ۷ روز",IF(G470&lt;=TODAY()+15,"تا ۱۵ روز","آینده")))))))</f>
        <v/>
      </c>
      <c r="N470" s="9" t="inlineStr"/>
      <c r="O470" s="9" t="n">
        <v>0</v>
      </c>
      <c r="P470" s="10" t="n"/>
      <c r="Q470" s="9" t="inlineStr"/>
      <c r="R470" s="9" t="inlineStr">
        <is>
          <t>پیش‌فرض 1405</t>
        </is>
      </c>
      <c r="S470" s="9" t="inlineStr">
        <is>
          <t>T105</t>
        </is>
      </c>
      <c r="T470" s="9" t="inlineStr">
        <is>
          <t>بله</t>
        </is>
      </c>
    </row>
    <row r="471">
      <c r="A471" s="9" t="inlineStr">
        <is>
          <t>1405-0470</t>
        </is>
      </c>
      <c r="B471" s="9" t="inlineStr">
        <is>
          <t>کیهان توسعه البرز</t>
        </is>
      </c>
      <c r="C471" s="9" t="inlineStr">
        <is>
          <t>حقوق و دستمزد</t>
        </is>
      </c>
      <c r="D471" s="9" t="inlineStr">
        <is>
          <t>ارسال/پرداخت لیست بیمه ماه بهمن</t>
        </is>
      </c>
      <c r="E471" s="9" t="inlineStr">
        <is>
          <t>ماهانه</t>
        </is>
      </c>
      <c r="F471" s="9" t="inlineStr">
        <is>
          <t>بهمن</t>
        </is>
      </c>
      <c r="G471" s="10" t="n">
        <v>46466</v>
      </c>
      <c r="H471" s="9" t="inlineStr">
        <is>
          <t>1405/12/29</t>
        </is>
      </c>
      <c r="I471" s="9" t="n">
        <v>7</v>
      </c>
      <c r="J471" s="10">
        <f>IF(G471="","",G471-I471)</f>
        <v/>
      </c>
      <c r="K471" s="9" t="inlineStr">
        <is>
          <t>خیلی بالا</t>
        </is>
      </c>
      <c r="L471" s="9" t="inlineStr">
        <is>
          <t>باز</t>
        </is>
      </c>
      <c r="M471" s="9">
        <f>IF(D471="","",IF(L471="انجام شده","انجام شده",IF(L471="لغو شده","لغو شده",IF(G471&lt;TODAY(),"عقب‌افتاده",IF(G471=TODAY(),"امروز",IF(G471&lt;=TODAY()+7,"تا ۷ روز",IF(G471&lt;=TODAY()+15,"تا ۱۵ روز","آینده")))))))</f>
        <v/>
      </c>
      <c r="N471" s="9" t="inlineStr"/>
      <c r="O471" s="9" t="n">
        <v>0</v>
      </c>
      <c r="P471" s="10" t="n"/>
      <c r="Q471" s="9" t="inlineStr"/>
      <c r="R471" s="9" t="inlineStr">
        <is>
          <t>پیش‌فرض 1405</t>
        </is>
      </c>
      <c r="S471" s="9" t="inlineStr">
        <is>
          <t>T106</t>
        </is>
      </c>
      <c r="T471" s="9" t="inlineStr">
        <is>
          <t>بله</t>
        </is>
      </c>
    </row>
    <row r="472">
      <c r="A472" s="9" t="inlineStr">
        <is>
          <t>1405-0471</t>
        </is>
      </c>
      <c r="B472" s="9" t="inlineStr">
        <is>
          <t>کیهان توسعه البرز</t>
        </is>
      </c>
      <c r="C472" s="9" t="inlineStr">
        <is>
          <t>حقوق و دستمزد</t>
        </is>
      </c>
      <c r="D472" s="9" t="inlineStr">
        <is>
          <t>ارسال/پرداخت مالیات حقوق ماه بهمن</t>
        </is>
      </c>
      <c r="E472" s="9" t="inlineStr">
        <is>
          <t>ماهانه</t>
        </is>
      </c>
      <c r="F472" s="9" t="inlineStr">
        <is>
          <t>بهمن</t>
        </is>
      </c>
      <c r="G472" s="10" t="n">
        <v>46466</v>
      </c>
      <c r="H472" s="9" t="inlineStr">
        <is>
          <t>1405/12/29</t>
        </is>
      </c>
      <c r="I472" s="9" t="n">
        <v>7</v>
      </c>
      <c r="J472" s="10">
        <f>IF(G472="","",G472-I472)</f>
        <v/>
      </c>
      <c r="K472" s="9" t="inlineStr">
        <is>
          <t>خیلی بالا</t>
        </is>
      </c>
      <c r="L472" s="9" t="inlineStr">
        <is>
          <t>باز</t>
        </is>
      </c>
      <c r="M472" s="9">
        <f>IF(D472="","",IF(L472="انجام شده","انجام شده",IF(L472="لغو شده","لغو شده",IF(G472&lt;TODAY(),"عقب‌افتاده",IF(G472=TODAY(),"امروز",IF(G472&lt;=TODAY()+7,"تا ۷ روز",IF(G472&lt;=TODAY()+15,"تا ۱۵ روز","آینده")))))))</f>
        <v/>
      </c>
      <c r="N472" s="9" t="inlineStr"/>
      <c r="O472" s="9" t="n">
        <v>0</v>
      </c>
      <c r="P472" s="10" t="n"/>
      <c r="Q472" s="9" t="inlineStr"/>
      <c r="R472" s="9" t="inlineStr">
        <is>
          <t>پیش‌فرض 1405</t>
        </is>
      </c>
      <c r="S472" s="9" t="inlineStr">
        <is>
          <t>T107</t>
        </is>
      </c>
      <c r="T472" s="9" t="inlineStr">
        <is>
          <t>بله</t>
        </is>
      </c>
    </row>
    <row r="473">
      <c r="A473" s="9" t="inlineStr">
        <is>
          <t>1405-0472</t>
        </is>
      </c>
      <c r="B473" s="9" t="inlineStr">
        <is>
          <t>کیهان توسعه البرز</t>
        </is>
      </c>
      <c r="C473" s="9" t="inlineStr">
        <is>
          <t>بایگانی</t>
        </is>
      </c>
      <c r="D473" s="9" t="inlineStr">
        <is>
          <t>بایگانی مدارک و اسناد ماه بهمن</t>
        </is>
      </c>
      <c r="E473" s="9" t="inlineStr">
        <is>
          <t>ماهانه</t>
        </is>
      </c>
      <c r="F473" s="9" t="inlineStr">
        <is>
          <t>بهمن</t>
        </is>
      </c>
      <c r="G473" s="10" t="n">
        <v>46452</v>
      </c>
      <c r="H473" s="9" t="inlineStr">
        <is>
          <t>1405/12/15</t>
        </is>
      </c>
      <c r="I473" s="9" t="n">
        <v>3</v>
      </c>
      <c r="J473" s="10">
        <f>IF(G473="","",G473-I473)</f>
        <v/>
      </c>
      <c r="K473" s="9" t="inlineStr">
        <is>
          <t>متوسط</t>
        </is>
      </c>
      <c r="L473" s="9" t="inlineStr">
        <is>
          <t>باز</t>
        </is>
      </c>
      <c r="M473" s="9">
        <f>IF(D473="","",IF(L473="انجام شده","انجام شده",IF(L473="لغو شده","لغو شده",IF(G473&lt;TODAY(),"عقب‌افتاده",IF(G473=TODAY(),"امروز",IF(G473&lt;=TODAY()+7,"تا ۷ روز",IF(G473&lt;=TODAY()+15,"تا ۱۵ روز","آینده")))))))</f>
        <v/>
      </c>
      <c r="N473" s="9" t="inlineStr"/>
      <c r="O473" s="9" t="n">
        <v>0</v>
      </c>
      <c r="P473" s="10" t="n"/>
      <c r="Q473" s="9" t="inlineStr"/>
      <c r="R473" s="9" t="inlineStr">
        <is>
          <t>پیش‌فرض 1405</t>
        </is>
      </c>
      <c r="S473" s="9" t="inlineStr">
        <is>
          <t>T108</t>
        </is>
      </c>
      <c r="T473" s="9" t="inlineStr">
        <is>
          <t>بله</t>
        </is>
      </c>
    </row>
    <row r="474">
      <c r="A474" s="9" t="inlineStr">
        <is>
          <t>1405-0473</t>
        </is>
      </c>
      <c r="B474" s="9" t="inlineStr">
        <is>
          <t>کیهان توسعه البرز</t>
        </is>
      </c>
      <c r="C474" s="9" t="inlineStr">
        <is>
          <t>پایان ماه</t>
        </is>
      </c>
      <c r="D474" s="9" t="inlineStr">
        <is>
          <t>مغایرت‌گیری بانکی ماه اسفند</t>
        </is>
      </c>
      <c r="E474" s="9" t="inlineStr">
        <is>
          <t>ماهانه</t>
        </is>
      </c>
      <c r="F474" s="9" t="inlineStr">
        <is>
          <t>اسفند</t>
        </is>
      </c>
      <c r="G474" s="10" t="n">
        <v>46471</v>
      </c>
      <c r="H474" s="9" t="inlineStr">
        <is>
          <t>1406/01/05</t>
        </is>
      </c>
      <c r="I474" s="9" t="n">
        <v>5</v>
      </c>
      <c r="J474" s="10">
        <f>IF(G474="","",G474-I474)</f>
        <v/>
      </c>
      <c r="K474" s="9" t="inlineStr">
        <is>
          <t>بالا</t>
        </is>
      </c>
      <c r="L474" s="9" t="inlineStr">
        <is>
          <t>باز</t>
        </is>
      </c>
      <c r="M474" s="9">
        <f>IF(D474="","",IF(L474="انجام شده","انجام شده",IF(L474="لغو شده","لغو شده",IF(G474&lt;TODAY(),"عقب‌افتاده",IF(G474=TODAY(),"امروز",IF(G474&lt;=TODAY()+7,"تا ۷ روز",IF(G474&lt;=TODAY()+15,"تا ۱۵ روز","آینده")))))))</f>
        <v/>
      </c>
      <c r="N474" s="9" t="inlineStr"/>
      <c r="O474" s="9" t="n">
        <v>0</v>
      </c>
      <c r="P474" s="10" t="n"/>
      <c r="Q474" s="9" t="inlineStr"/>
      <c r="R474" s="9" t="inlineStr">
        <is>
          <t>پیش‌فرض 1405</t>
        </is>
      </c>
      <c r="S474" s="9" t="inlineStr">
        <is>
          <t>T101</t>
        </is>
      </c>
      <c r="T474" s="9" t="inlineStr">
        <is>
          <t>بله</t>
        </is>
      </c>
    </row>
    <row r="475">
      <c r="A475" s="9" t="inlineStr">
        <is>
          <t>1405-0474</t>
        </is>
      </c>
      <c r="B475" s="9" t="inlineStr">
        <is>
          <t>کیهان توسعه البرز</t>
        </is>
      </c>
      <c r="C475" s="9" t="inlineStr">
        <is>
          <t>پایان ماه</t>
        </is>
      </c>
      <c r="D475" s="9" t="inlineStr">
        <is>
          <t>کنترل نهایی اسناد ماه اسفند</t>
        </is>
      </c>
      <c r="E475" s="9" t="inlineStr">
        <is>
          <t>ماهانه</t>
        </is>
      </c>
      <c r="F475" s="9" t="inlineStr">
        <is>
          <t>اسفند</t>
        </is>
      </c>
      <c r="G475" s="10" t="n">
        <v>46473</v>
      </c>
      <c r="H475" s="9" t="inlineStr">
        <is>
          <t>1406/01/07</t>
        </is>
      </c>
      <c r="I475" s="9" t="n">
        <v>5</v>
      </c>
      <c r="J475" s="10">
        <f>IF(G475="","",G475-I475)</f>
        <v/>
      </c>
      <c r="K475" s="9" t="inlineStr">
        <is>
          <t>بالا</t>
        </is>
      </c>
      <c r="L475" s="9" t="inlineStr">
        <is>
          <t>باز</t>
        </is>
      </c>
      <c r="M475" s="9">
        <f>IF(D475="","",IF(L475="انجام شده","انجام شده",IF(L475="لغو شده","لغو شده",IF(G475&lt;TODAY(),"عقب‌افتاده",IF(G475=TODAY(),"امروز",IF(G475&lt;=TODAY()+7,"تا ۷ روز",IF(G475&lt;=TODAY()+15,"تا ۱۵ روز","آینده")))))))</f>
        <v/>
      </c>
      <c r="N475" s="9" t="inlineStr"/>
      <c r="O475" s="9" t="n">
        <v>0</v>
      </c>
      <c r="P475" s="10" t="n"/>
      <c r="Q475" s="9" t="inlineStr"/>
      <c r="R475" s="9" t="inlineStr">
        <is>
          <t>پیش‌فرض 1405</t>
        </is>
      </c>
      <c r="S475" s="9" t="inlineStr">
        <is>
          <t>T102</t>
        </is>
      </c>
      <c r="T475" s="9" t="inlineStr">
        <is>
          <t>بله</t>
        </is>
      </c>
    </row>
    <row r="476">
      <c r="A476" s="9" t="inlineStr">
        <is>
          <t>1405-0475</t>
        </is>
      </c>
      <c r="B476" s="9" t="inlineStr">
        <is>
          <t>کیهان توسعه البرز</t>
        </is>
      </c>
      <c r="C476" s="9" t="inlineStr">
        <is>
          <t>پایان ماه</t>
        </is>
      </c>
      <c r="D476" s="9" t="inlineStr">
        <is>
          <t>بستن حساب‌های ماه اسفند و کنترل مانده‌ها</t>
        </is>
      </c>
      <c r="E476" s="9" t="inlineStr">
        <is>
          <t>ماهانه</t>
        </is>
      </c>
      <c r="F476" s="9" t="inlineStr">
        <is>
          <t>اسفند</t>
        </is>
      </c>
      <c r="G476" s="10" t="n">
        <v>46476</v>
      </c>
      <c r="H476" s="9" t="inlineStr">
        <is>
          <t>1406/01/10</t>
        </is>
      </c>
      <c r="I476" s="9" t="n">
        <v>7</v>
      </c>
      <c r="J476" s="10">
        <f>IF(G476="","",G476-I476)</f>
        <v/>
      </c>
      <c r="K476" s="9" t="inlineStr">
        <is>
          <t>بالا</t>
        </is>
      </c>
      <c r="L476" s="9" t="inlineStr">
        <is>
          <t>باز</t>
        </is>
      </c>
      <c r="M476" s="9">
        <f>IF(D476="","",IF(L476="انجام شده","انجام شده",IF(L476="لغو شده","لغو شده",IF(G476&lt;TODAY(),"عقب‌افتاده",IF(G476=TODAY(),"امروز",IF(G476&lt;=TODAY()+7,"تا ۷ روز",IF(G476&lt;=TODAY()+15,"تا ۱۵ روز","آینده")))))))</f>
        <v/>
      </c>
      <c r="N476" s="9" t="inlineStr"/>
      <c r="O476" s="9" t="n">
        <v>0</v>
      </c>
      <c r="P476" s="10" t="n"/>
      <c r="Q476" s="9" t="inlineStr"/>
      <c r="R476" s="9" t="inlineStr">
        <is>
          <t>پیش‌فرض 1405</t>
        </is>
      </c>
      <c r="S476" s="9" t="inlineStr">
        <is>
          <t>T103</t>
        </is>
      </c>
      <c r="T476" s="9" t="inlineStr">
        <is>
          <t>بله</t>
        </is>
      </c>
    </row>
    <row r="477">
      <c r="A477" s="9" t="inlineStr">
        <is>
          <t>1405-0476</t>
        </is>
      </c>
      <c r="B477" s="9" t="inlineStr">
        <is>
          <t>کیهان توسعه البرز</t>
        </is>
      </c>
      <c r="C477" s="9" t="inlineStr">
        <is>
          <t>گزارش</t>
        </is>
      </c>
      <c r="D477" s="9" t="inlineStr">
        <is>
          <t>تهیه گزارش مدیریت ماه اسفند</t>
        </is>
      </c>
      <c r="E477" s="9" t="inlineStr">
        <is>
          <t>ماهانه</t>
        </is>
      </c>
      <c r="F477" s="9" t="inlineStr">
        <is>
          <t>اسفند</t>
        </is>
      </c>
      <c r="G477" s="10" t="n">
        <v>46476</v>
      </c>
      <c r="H477" s="9" t="inlineStr">
        <is>
          <t>1406/01/10</t>
        </is>
      </c>
      <c r="I477" s="9" t="n">
        <v>5</v>
      </c>
      <c r="J477" s="10">
        <f>IF(G477="","",G477-I477)</f>
        <v/>
      </c>
      <c r="K477" s="9" t="inlineStr">
        <is>
          <t>متوسط</t>
        </is>
      </c>
      <c r="L477" s="9" t="inlineStr">
        <is>
          <t>باز</t>
        </is>
      </c>
      <c r="M477" s="9">
        <f>IF(D477="","",IF(L477="انجام شده","انجام شده",IF(L477="لغو شده","لغو شده",IF(G477&lt;TODAY(),"عقب‌افتاده",IF(G477=TODAY(),"امروز",IF(G477&lt;=TODAY()+7,"تا ۷ روز",IF(G477&lt;=TODAY()+15,"تا ۱۵ روز","آینده")))))))</f>
        <v/>
      </c>
      <c r="N477" s="9" t="inlineStr"/>
      <c r="O477" s="9" t="n">
        <v>0</v>
      </c>
      <c r="P477" s="10" t="n"/>
      <c r="Q477" s="9" t="inlineStr"/>
      <c r="R477" s="9" t="inlineStr">
        <is>
          <t>پیش‌فرض 1405</t>
        </is>
      </c>
      <c r="S477" s="9" t="inlineStr">
        <is>
          <t>T104</t>
        </is>
      </c>
      <c r="T477" s="9" t="inlineStr">
        <is>
          <t>بله</t>
        </is>
      </c>
    </row>
    <row r="478">
      <c r="A478" s="9" t="inlineStr">
        <is>
          <t>1405-0477</t>
        </is>
      </c>
      <c r="B478" s="9" t="inlineStr">
        <is>
          <t>کیهان توسعه البرز</t>
        </is>
      </c>
      <c r="C478" s="9" t="inlineStr">
        <is>
          <t>حقوق و دستمزد</t>
        </is>
      </c>
      <c r="D478" s="9" t="inlineStr">
        <is>
          <t>محاسبه حقوق و دستمزد ماه اسفند</t>
        </is>
      </c>
      <c r="E478" s="9" t="inlineStr">
        <is>
          <t>ماهانه</t>
        </is>
      </c>
      <c r="F478" s="9" t="inlineStr">
        <is>
          <t>اسفند</t>
        </is>
      </c>
      <c r="G478" s="10" t="n">
        <v>46465</v>
      </c>
      <c r="H478" s="9" t="inlineStr">
        <is>
          <t>1405/12/28</t>
        </is>
      </c>
      <c r="I478" s="9" t="n">
        <v>5</v>
      </c>
      <c r="J478" s="10">
        <f>IF(G478="","",G478-I478)</f>
        <v/>
      </c>
      <c r="K478" s="9" t="inlineStr">
        <is>
          <t>بالا</t>
        </is>
      </c>
      <c r="L478" s="9" t="inlineStr">
        <is>
          <t>باز</t>
        </is>
      </c>
      <c r="M478" s="9">
        <f>IF(D478="","",IF(L478="انجام شده","انجام شده",IF(L478="لغو شده","لغو شده",IF(G478&lt;TODAY(),"عقب‌افتاده",IF(G478=TODAY(),"امروز",IF(G478&lt;=TODAY()+7,"تا ۷ روز",IF(G478&lt;=TODAY()+15,"تا ۱۵ روز","آینده")))))))</f>
        <v/>
      </c>
      <c r="N478" s="9" t="inlineStr"/>
      <c r="O478" s="9" t="n">
        <v>0</v>
      </c>
      <c r="P478" s="10" t="n"/>
      <c r="Q478" s="9" t="inlineStr"/>
      <c r="R478" s="9" t="inlineStr">
        <is>
          <t>پیش‌فرض 1405</t>
        </is>
      </c>
      <c r="S478" s="9" t="inlineStr">
        <is>
          <t>T105</t>
        </is>
      </c>
      <c r="T478" s="9" t="inlineStr">
        <is>
          <t>بله</t>
        </is>
      </c>
    </row>
    <row r="479">
      <c r="A479" s="9" t="inlineStr">
        <is>
          <t>1405-0478</t>
        </is>
      </c>
      <c r="B479" s="9" t="inlineStr">
        <is>
          <t>کیهان توسعه البرز</t>
        </is>
      </c>
      <c r="C479" s="9" t="inlineStr">
        <is>
          <t>حقوق و دستمزد</t>
        </is>
      </c>
      <c r="D479" s="9" t="inlineStr">
        <is>
          <t>ارسال/پرداخت لیست بیمه ماه اسفند</t>
        </is>
      </c>
      <c r="E479" s="9" t="inlineStr">
        <is>
          <t>ماهانه</t>
        </is>
      </c>
      <c r="F479" s="9" t="inlineStr">
        <is>
          <t>اسفند</t>
        </is>
      </c>
      <c r="G479" s="10" t="n">
        <v>46497</v>
      </c>
      <c r="H479" s="9" t="inlineStr">
        <is>
          <t>1406/01/31</t>
        </is>
      </c>
      <c r="I479" s="9" t="n">
        <v>7</v>
      </c>
      <c r="J479" s="10">
        <f>IF(G479="","",G479-I479)</f>
        <v/>
      </c>
      <c r="K479" s="9" t="inlineStr">
        <is>
          <t>خیلی بالا</t>
        </is>
      </c>
      <c r="L479" s="9" t="inlineStr">
        <is>
          <t>باز</t>
        </is>
      </c>
      <c r="M479" s="9">
        <f>IF(D479="","",IF(L479="انجام شده","انجام شده",IF(L479="لغو شده","لغو شده",IF(G479&lt;TODAY(),"عقب‌افتاده",IF(G479=TODAY(),"امروز",IF(G479&lt;=TODAY()+7,"تا ۷ روز",IF(G479&lt;=TODAY()+15,"تا ۱۵ روز","آینده")))))))</f>
        <v/>
      </c>
      <c r="N479" s="9" t="inlineStr"/>
      <c r="O479" s="9" t="n">
        <v>0</v>
      </c>
      <c r="P479" s="10" t="n"/>
      <c r="Q479" s="9" t="inlineStr"/>
      <c r="R479" s="9" t="inlineStr">
        <is>
          <t>پیش‌فرض 1405</t>
        </is>
      </c>
      <c r="S479" s="9" t="inlineStr">
        <is>
          <t>T106</t>
        </is>
      </c>
      <c r="T479" s="9" t="inlineStr">
        <is>
          <t>بله</t>
        </is>
      </c>
    </row>
    <row r="480">
      <c r="A480" s="9" t="inlineStr">
        <is>
          <t>1405-0479</t>
        </is>
      </c>
      <c r="B480" s="9" t="inlineStr">
        <is>
          <t>کیهان توسعه البرز</t>
        </is>
      </c>
      <c r="C480" s="9" t="inlineStr">
        <is>
          <t>حقوق و دستمزد</t>
        </is>
      </c>
      <c r="D480" s="9" t="inlineStr">
        <is>
          <t>ارسال/پرداخت مالیات حقوق ماه اسفند</t>
        </is>
      </c>
      <c r="E480" s="9" t="inlineStr">
        <is>
          <t>ماهانه</t>
        </is>
      </c>
      <c r="F480" s="9" t="inlineStr">
        <is>
          <t>اسفند</t>
        </is>
      </c>
      <c r="G480" s="10" t="n">
        <v>46497</v>
      </c>
      <c r="H480" s="9" t="inlineStr">
        <is>
          <t>1406/01/31</t>
        </is>
      </c>
      <c r="I480" s="9" t="n">
        <v>7</v>
      </c>
      <c r="J480" s="10">
        <f>IF(G480="","",G480-I480)</f>
        <v/>
      </c>
      <c r="K480" s="9" t="inlineStr">
        <is>
          <t>خیلی بالا</t>
        </is>
      </c>
      <c r="L480" s="9" t="inlineStr">
        <is>
          <t>باز</t>
        </is>
      </c>
      <c r="M480" s="9">
        <f>IF(D480="","",IF(L480="انجام شده","انجام شده",IF(L480="لغو شده","لغو شده",IF(G480&lt;TODAY(),"عقب‌افتاده",IF(G480=TODAY(),"امروز",IF(G480&lt;=TODAY()+7,"تا ۷ روز",IF(G480&lt;=TODAY()+15,"تا ۱۵ روز","آینده")))))))</f>
        <v/>
      </c>
      <c r="N480" s="9" t="inlineStr"/>
      <c r="O480" s="9" t="n">
        <v>0</v>
      </c>
      <c r="P480" s="10" t="n"/>
      <c r="Q480" s="9" t="inlineStr"/>
      <c r="R480" s="9" t="inlineStr">
        <is>
          <t>پیش‌فرض 1405</t>
        </is>
      </c>
      <c r="S480" s="9" t="inlineStr">
        <is>
          <t>T107</t>
        </is>
      </c>
      <c r="T480" s="9" t="inlineStr">
        <is>
          <t>بله</t>
        </is>
      </c>
    </row>
    <row r="481">
      <c r="A481" s="9" t="inlineStr">
        <is>
          <t>1405-0480</t>
        </is>
      </c>
      <c r="B481" s="9" t="inlineStr">
        <is>
          <t>کیهان توسعه البرز</t>
        </is>
      </c>
      <c r="C481" s="9" t="inlineStr">
        <is>
          <t>بایگانی</t>
        </is>
      </c>
      <c r="D481" s="9" t="inlineStr">
        <is>
          <t>بایگانی مدارک و اسناد ماه اسفند</t>
        </is>
      </c>
      <c r="E481" s="9" t="inlineStr">
        <is>
          <t>ماهانه</t>
        </is>
      </c>
      <c r="F481" s="9" t="inlineStr">
        <is>
          <t>اسفند</t>
        </is>
      </c>
      <c r="G481" s="10" t="n">
        <v>46481</v>
      </c>
      <c r="H481" s="9" t="inlineStr">
        <is>
          <t>1406/01/15</t>
        </is>
      </c>
      <c r="I481" s="9" t="n">
        <v>3</v>
      </c>
      <c r="J481" s="10">
        <f>IF(G481="","",G481-I481)</f>
        <v/>
      </c>
      <c r="K481" s="9" t="inlineStr">
        <is>
          <t>متوسط</t>
        </is>
      </c>
      <c r="L481" s="9" t="inlineStr">
        <is>
          <t>باز</t>
        </is>
      </c>
      <c r="M481" s="9">
        <f>IF(D481="","",IF(L481="انجام شده","انجام شده",IF(L481="لغو شده","لغو شده",IF(G481&lt;TODAY(),"عقب‌افتاده",IF(G481=TODAY(),"امروز",IF(G481&lt;=TODAY()+7,"تا ۷ روز",IF(G481&lt;=TODAY()+15,"تا ۱۵ روز","آینده")))))))</f>
        <v/>
      </c>
      <c r="N481" s="9" t="inlineStr"/>
      <c r="O481" s="9" t="n">
        <v>0</v>
      </c>
      <c r="P481" s="10" t="n"/>
      <c r="Q481" s="9" t="inlineStr"/>
      <c r="R481" s="9" t="inlineStr">
        <is>
          <t>پیش‌فرض 1405</t>
        </is>
      </c>
      <c r="S481" s="9" t="inlineStr">
        <is>
          <t>T108</t>
        </is>
      </c>
      <c r="T481" s="9" t="inlineStr">
        <is>
          <t>بله</t>
        </is>
      </c>
    </row>
    <row r="482">
      <c r="A482" s="9" t="inlineStr">
        <is>
          <t>1405-0481</t>
        </is>
      </c>
      <c r="B482" s="9" t="inlineStr">
        <is>
          <t>موسسه شهر کتاب مرکزی</t>
        </is>
      </c>
      <c r="C482" s="9" t="inlineStr">
        <is>
          <t>مالیات</t>
        </is>
      </c>
      <c r="D482" s="9" t="inlineStr">
        <is>
          <t>تهیه و ارسال اظهارنامه ارزش افزوده فصل بهار</t>
        </is>
      </c>
      <c r="E482" s="9" t="inlineStr">
        <is>
          <t>فصلی</t>
        </is>
      </c>
      <c r="F482" s="9" t="inlineStr">
        <is>
          <t>بهار</t>
        </is>
      </c>
      <c r="G482" s="10" t="n">
        <v>46209</v>
      </c>
      <c r="H482" s="9" t="inlineStr">
        <is>
          <t>1405/04/15</t>
        </is>
      </c>
      <c r="I482" s="9" t="n">
        <v>10</v>
      </c>
      <c r="J482" s="10">
        <f>IF(G482="","",G482-I482)</f>
        <v/>
      </c>
      <c r="K482" s="9" t="inlineStr">
        <is>
          <t>خیلی بالا</t>
        </is>
      </c>
      <c r="L482" s="9" t="inlineStr">
        <is>
          <t>باز</t>
        </is>
      </c>
      <c r="M482" s="9">
        <f>IF(D482="","",IF(L482="انجام شده","انجام شده",IF(L482="لغو شده","لغو شده",IF(G482&lt;TODAY(),"عقب‌افتاده",IF(G482=TODAY(),"امروز",IF(G482&lt;=TODAY()+7,"تا ۷ روز",IF(G482&lt;=TODAY()+15,"تا ۱۵ روز","آینده")))))))</f>
        <v/>
      </c>
      <c r="N482" s="9" t="inlineStr"/>
      <c r="O482" s="9" t="n">
        <v>0</v>
      </c>
      <c r="P482" s="10" t="n"/>
      <c r="Q482" s="9" t="inlineStr"/>
      <c r="R482" s="9" t="inlineStr">
        <is>
          <t>پیش‌فرض 1405</t>
        </is>
      </c>
      <c r="S482" s="9" t="inlineStr">
        <is>
          <t>T201</t>
        </is>
      </c>
      <c r="T482" s="9" t="inlineStr">
        <is>
          <t>بله</t>
        </is>
      </c>
    </row>
    <row r="483">
      <c r="A483" s="9" t="inlineStr">
        <is>
          <t>1405-0482</t>
        </is>
      </c>
      <c r="B483" s="9" t="inlineStr">
        <is>
          <t>موسسه شهر کتاب مرکزی</t>
        </is>
      </c>
      <c r="C483" s="9" t="inlineStr">
        <is>
          <t>مالیات</t>
        </is>
      </c>
      <c r="D483" s="9" t="inlineStr">
        <is>
          <t>تهیه و ارسال معاملات فصلی فصل بهار</t>
        </is>
      </c>
      <c r="E483" s="9" t="inlineStr">
        <is>
          <t>فصلی</t>
        </is>
      </c>
      <c r="F483" s="9" t="inlineStr">
        <is>
          <t>بهار</t>
        </is>
      </c>
      <c r="G483" s="10" t="n">
        <v>46239</v>
      </c>
      <c r="H483" s="9" t="inlineStr">
        <is>
          <t>1405/05/14</t>
        </is>
      </c>
      <c r="I483" s="9" t="n">
        <v>10</v>
      </c>
      <c r="J483" s="10">
        <f>IF(G483="","",G483-I483)</f>
        <v/>
      </c>
      <c r="K483" s="9" t="inlineStr">
        <is>
          <t>خیلی بالا</t>
        </is>
      </c>
      <c r="L483" s="9" t="inlineStr">
        <is>
          <t>باز</t>
        </is>
      </c>
      <c r="M483" s="9">
        <f>IF(D483="","",IF(L483="انجام شده","انجام شده",IF(L483="لغو شده","لغو شده",IF(G483&lt;TODAY(),"عقب‌افتاده",IF(G483=TODAY(),"امروز",IF(G483&lt;=TODAY()+7,"تا ۷ روز",IF(G483&lt;=TODAY()+15,"تا ۱۵ روز","آینده")))))))</f>
        <v/>
      </c>
      <c r="N483" s="9" t="inlineStr"/>
      <c r="O483" s="9" t="n">
        <v>0</v>
      </c>
      <c r="P483" s="10" t="n"/>
      <c r="Q483" s="9" t="inlineStr"/>
      <c r="R483" s="9" t="inlineStr">
        <is>
          <t>پیش‌فرض 1405</t>
        </is>
      </c>
      <c r="S483" s="9" t="inlineStr">
        <is>
          <t>T202</t>
        </is>
      </c>
      <c r="T483" s="9" t="inlineStr">
        <is>
          <t>بله</t>
        </is>
      </c>
    </row>
    <row r="484">
      <c r="A484" s="9" t="inlineStr">
        <is>
          <t>1405-0483</t>
        </is>
      </c>
      <c r="B484" s="9" t="inlineStr">
        <is>
          <t>موسسه شهر کتاب مرکزی</t>
        </is>
      </c>
      <c r="C484" s="9" t="inlineStr">
        <is>
          <t>کنترل فصلی</t>
        </is>
      </c>
      <c r="D484" s="9" t="inlineStr">
        <is>
          <t>کنترل جامع حساب‌ها و گزارش فصلی بهار</t>
        </is>
      </c>
      <c r="E484" s="9" t="inlineStr">
        <is>
          <t>فصلی</t>
        </is>
      </c>
      <c r="F484" s="9" t="inlineStr">
        <is>
          <t>بهار</t>
        </is>
      </c>
      <c r="G484" s="10" t="n">
        <v>46214</v>
      </c>
      <c r="H484" s="9" t="inlineStr">
        <is>
          <t>1405/04/20</t>
        </is>
      </c>
      <c r="I484" s="9" t="n">
        <v>10</v>
      </c>
      <c r="J484" s="10">
        <f>IF(G484="","",G484-I484)</f>
        <v/>
      </c>
      <c r="K484" s="9" t="inlineStr">
        <is>
          <t>بالا</t>
        </is>
      </c>
      <c r="L484" s="9" t="inlineStr">
        <is>
          <t>باز</t>
        </is>
      </c>
      <c r="M484" s="9">
        <f>IF(D484="","",IF(L484="انجام شده","انجام شده",IF(L484="لغو شده","لغو شده",IF(G484&lt;TODAY(),"عقب‌افتاده",IF(G484=TODAY(),"امروز",IF(G484&lt;=TODAY()+7,"تا ۷ روز",IF(G484&lt;=TODAY()+15,"تا ۱۵ روز","آینده")))))))</f>
        <v/>
      </c>
      <c r="N484" s="9" t="inlineStr"/>
      <c r="O484" s="9" t="n">
        <v>0</v>
      </c>
      <c r="P484" s="10" t="n"/>
      <c r="Q484" s="9" t="inlineStr"/>
      <c r="R484" s="9" t="inlineStr">
        <is>
          <t>پیش‌فرض 1405</t>
        </is>
      </c>
      <c r="S484" s="9" t="inlineStr">
        <is>
          <t>T203</t>
        </is>
      </c>
      <c r="T484" s="9" t="inlineStr">
        <is>
          <t>بله</t>
        </is>
      </c>
    </row>
    <row r="485">
      <c r="A485" s="9" t="inlineStr">
        <is>
          <t>1405-0484</t>
        </is>
      </c>
      <c r="B485" s="9" t="inlineStr">
        <is>
          <t>موسسه شهر کتاب مرکزی</t>
        </is>
      </c>
      <c r="C485" s="9" t="inlineStr">
        <is>
          <t>مالیات</t>
        </is>
      </c>
      <c r="D485" s="9" t="inlineStr">
        <is>
          <t>تهیه و ارسال اظهارنامه ارزش افزوده فصل تابستان</t>
        </is>
      </c>
      <c r="E485" s="9" t="inlineStr">
        <is>
          <t>فصلی</t>
        </is>
      </c>
      <c r="F485" s="9" t="inlineStr">
        <is>
          <t>تابستان</t>
        </is>
      </c>
      <c r="G485" s="10" t="n">
        <v>46302</v>
      </c>
      <c r="H485" s="9" t="inlineStr">
        <is>
          <t>1405/07/15</t>
        </is>
      </c>
      <c r="I485" s="9" t="n">
        <v>10</v>
      </c>
      <c r="J485" s="10">
        <f>IF(G485="","",G485-I485)</f>
        <v/>
      </c>
      <c r="K485" s="9" t="inlineStr">
        <is>
          <t>خیلی بالا</t>
        </is>
      </c>
      <c r="L485" s="9" t="inlineStr">
        <is>
          <t>باز</t>
        </is>
      </c>
      <c r="M485" s="9">
        <f>IF(D485="","",IF(L485="انجام شده","انجام شده",IF(L485="لغو شده","لغو شده",IF(G485&lt;TODAY(),"عقب‌افتاده",IF(G485=TODAY(),"امروز",IF(G485&lt;=TODAY()+7,"تا ۷ روز",IF(G485&lt;=TODAY()+15,"تا ۱۵ روز","آینده")))))))</f>
        <v/>
      </c>
      <c r="N485" s="9" t="inlineStr"/>
      <c r="O485" s="9" t="n">
        <v>0</v>
      </c>
      <c r="P485" s="10" t="n"/>
      <c r="Q485" s="9" t="inlineStr"/>
      <c r="R485" s="9" t="inlineStr">
        <is>
          <t>پیش‌فرض 1405</t>
        </is>
      </c>
      <c r="S485" s="9" t="inlineStr">
        <is>
          <t>T201</t>
        </is>
      </c>
      <c r="T485" s="9" t="inlineStr">
        <is>
          <t>بله</t>
        </is>
      </c>
    </row>
    <row r="486">
      <c r="A486" s="9" t="inlineStr">
        <is>
          <t>1405-0485</t>
        </is>
      </c>
      <c r="B486" s="9" t="inlineStr">
        <is>
          <t>موسسه شهر کتاب مرکزی</t>
        </is>
      </c>
      <c r="C486" s="9" t="inlineStr">
        <is>
          <t>مالیات</t>
        </is>
      </c>
      <c r="D486" s="9" t="inlineStr">
        <is>
          <t>تهیه و ارسال معاملات فصلی فصل تابستان</t>
        </is>
      </c>
      <c r="E486" s="9" t="inlineStr">
        <is>
          <t>فصلی</t>
        </is>
      </c>
      <c r="F486" s="9" t="inlineStr">
        <is>
          <t>تابستان</t>
        </is>
      </c>
      <c r="G486" s="10" t="n">
        <v>46332</v>
      </c>
      <c r="H486" s="9" t="inlineStr">
        <is>
          <t>1405/08/15</t>
        </is>
      </c>
      <c r="I486" s="9" t="n">
        <v>10</v>
      </c>
      <c r="J486" s="10">
        <f>IF(G486="","",G486-I486)</f>
        <v/>
      </c>
      <c r="K486" s="9" t="inlineStr">
        <is>
          <t>خیلی بالا</t>
        </is>
      </c>
      <c r="L486" s="9" t="inlineStr">
        <is>
          <t>باز</t>
        </is>
      </c>
      <c r="M486" s="9">
        <f>IF(D486="","",IF(L486="انجام شده","انجام شده",IF(L486="لغو شده","لغو شده",IF(G486&lt;TODAY(),"عقب‌افتاده",IF(G486=TODAY(),"امروز",IF(G486&lt;=TODAY()+7,"تا ۷ روز",IF(G486&lt;=TODAY()+15,"تا ۱۵ روز","آینده")))))))</f>
        <v/>
      </c>
      <c r="N486" s="9" t="inlineStr"/>
      <c r="O486" s="9" t="n">
        <v>0</v>
      </c>
      <c r="P486" s="10" t="n"/>
      <c r="Q486" s="9" t="inlineStr"/>
      <c r="R486" s="9" t="inlineStr">
        <is>
          <t>پیش‌فرض 1405</t>
        </is>
      </c>
      <c r="S486" s="9" t="inlineStr">
        <is>
          <t>T202</t>
        </is>
      </c>
      <c r="T486" s="9" t="inlineStr">
        <is>
          <t>بله</t>
        </is>
      </c>
    </row>
    <row r="487">
      <c r="A487" s="9" t="inlineStr">
        <is>
          <t>1405-0486</t>
        </is>
      </c>
      <c r="B487" s="9" t="inlineStr">
        <is>
          <t>موسسه شهر کتاب مرکزی</t>
        </is>
      </c>
      <c r="C487" s="9" t="inlineStr">
        <is>
          <t>کنترل فصلی</t>
        </is>
      </c>
      <c r="D487" s="9" t="inlineStr">
        <is>
          <t>کنترل جامع حساب‌ها و گزارش فصلی تابستان</t>
        </is>
      </c>
      <c r="E487" s="9" t="inlineStr">
        <is>
          <t>فصلی</t>
        </is>
      </c>
      <c r="F487" s="9" t="inlineStr">
        <is>
          <t>تابستان</t>
        </is>
      </c>
      <c r="G487" s="10" t="n">
        <v>46307</v>
      </c>
      <c r="H487" s="9" t="inlineStr">
        <is>
          <t>1405/07/20</t>
        </is>
      </c>
      <c r="I487" s="9" t="n">
        <v>10</v>
      </c>
      <c r="J487" s="10">
        <f>IF(G487="","",G487-I487)</f>
        <v/>
      </c>
      <c r="K487" s="9" t="inlineStr">
        <is>
          <t>بالا</t>
        </is>
      </c>
      <c r="L487" s="9" t="inlineStr">
        <is>
          <t>باز</t>
        </is>
      </c>
      <c r="M487" s="9">
        <f>IF(D487="","",IF(L487="انجام شده","انجام شده",IF(L487="لغو شده","لغو شده",IF(G487&lt;TODAY(),"عقب‌افتاده",IF(G487=TODAY(),"امروز",IF(G487&lt;=TODAY()+7,"تا ۷ روز",IF(G487&lt;=TODAY()+15,"تا ۱۵ روز","آینده")))))))</f>
        <v/>
      </c>
      <c r="N487" s="9" t="inlineStr"/>
      <c r="O487" s="9" t="n">
        <v>0</v>
      </c>
      <c r="P487" s="10" t="n"/>
      <c r="Q487" s="9" t="inlineStr"/>
      <c r="R487" s="9" t="inlineStr">
        <is>
          <t>پیش‌فرض 1405</t>
        </is>
      </c>
      <c r="S487" s="9" t="inlineStr">
        <is>
          <t>T203</t>
        </is>
      </c>
      <c r="T487" s="9" t="inlineStr">
        <is>
          <t>بله</t>
        </is>
      </c>
    </row>
    <row r="488">
      <c r="A488" s="9" t="inlineStr">
        <is>
          <t>1405-0487</t>
        </is>
      </c>
      <c r="B488" s="9" t="inlineStr">
        <is>
          <t>موسسه شهر کتاب مرکزی</t>
        </is>
      </c>
      <c r="C488" s="9" t="inlineStr">
        <is>
          <t>مالیات</t>
        </is>
      </c>
      <c r="D488" s="9" t="inlineStr">
        <is>
          <t>تهیه و ارسال اظهارنامه ارزش افزوده فصل پاییز</t>
        </is>
      </c>
      <c r="E488" s="9" t="inlineStr">
        <is>
          <t>فصلی</t>
        </is>
      </c>
      <c r="F488" s="9" t="inlineStr">
        <is>
          <t>پاییز</t>
        </is>
      </c>
      <c r="G488" s="10" t="n">
        <v>46392</v>
      </c>
      <c r="H488" s="9" t="inlineStr">
        <is>
          <t>1405/10/15</t>
        </is>
      </c>
      <c r="I488" s="9" t="n">
        <v>10</v>
      </c>
      <c r="J488" s="10">
        <f>IF(G488="","",G488-I488)</f>
        <v/>
      </c>
      <c r="K488" s="9" t="inlineStr">
        <is>
          <t>خیلی بالا</t>
        </is>
      </c>
      <c r="L488" s="9" t="inlineStr">
        <is>
          <t>باز</t>
        </is>
      </c>
      <c r="M488" s="9">
        <f>IF(D488="","",IF(L488="انجام شده","انجام شده",IF(L488="لغو شده","لغو شده",IF(G488&lt;TODAY(),"عقب‌افتاده",IF(G488=TODAY(),"امروز",IF(G488&lt;=TODAY()+7,"تا ۷ روز",IF(G488&lt;=TODAY()+15,"تا ۱۵ روز","آینده")))))))</f>
        <v/>
      </c>
      <c r="N488" s="9" t="inlineStr"/>
      <c r="O488" s="9" t="n">
        <v>0</v>
      </c>
      <c r="P488" s="10" t="n"/>
      <c r="Q488" s="9" t="inlineStr"/>
      <c r="R488" s="9" t="inlineStr">
        <is>
          <t>پیش‌فرض 1405</t>
        </is>
      </c>
      <c r="S488" s="9" t="inlineStr">
        <is>
          <t>T201</t>
        </is>
      </c>
      <c r="T488" s="9" t="inlineStr">
        <is>
          <t>بله</t>
        </is>
      </c>
    </row>
    <row r="489">
      <c r="A489" s="9" t="inlineStr">
        <is>
          <t>1405-0488</t>
        </is>
      </c>
      <c r="B489" s="9" t="inlineStr">
        <is>
          <t>موسسه شهر کتاب مرکزی</t>
        </is>
      </c>
      <c r="C489" s="9" t="inlineStr">
        <is>
          <t>مالیات</t>
        </is>
      </c>
      <c r="D489" s="9" t="inlineStr">
        <is>
          <t>تهیه و ارسال معاملات فصلی فصل پاییز</t>
        </is>
      </c>
      <c r="E489" s="9" t="inlineStr">
        <is>
          <t>فصلی</t>
        </is>
      </c>
      <c r="F489" s="9" t="inlineStr">
        <is>
          <t>پاییز</t>
        </is>
      </c>
      <c r="G489" s="10" t="n">
        <v>46422</v>
      </c>
      <c r="H489" s="9" t="inlineStr">
        <is>
          <t>1405/11/15</t>
        </is>
      </c>
      <c r="I489" s="9" t="n">
        <v>10</v>
      </c>
      <c r="J489" s="10">
        <f>IF(G489="","",G489-I489)</f>
        <v/>
      </c>
      <c r="K489" s="9" t="inlineStr">
        <is>
          <t>خیلی بالا</t>
        </is>
      </c>
      <c r="L489" s="9" t="inlineStr">
        <is>
          <t>باز</t>
        </is>
      </c>
      <c r="M489" s="9">
        <f>IF(D489="","",IF(L489="انجام شده","انجام شده",IF(L489="لغو شده","لغو شده",IF(G489&lt;TODAY(),"عقب‌افتاده",IF(G489=TODAY(),"امروز",IF(G489&lt;=TODAY()+7,"تا ۷ روز",IF(G489&lt;=TODAY()+15,"تا ۱۵ روز","آینده")))))))</f>
        <v/>
      </c>
      <c r="N489" s="9" t="inlineStr"/>
      <c r="O489" s="9" t="n">
        <v>0</v>
      </c>
      <c r="P489" s="10" t="n"/>
      <c r="Q489" s="9" t="inlineStr"/>
      <c r="R489" s="9" t="inlineStr">
        <is>
          <t>پیش‌فرض 1405</t>
        </is>
      </c>
      <c r="S489" s="9" t="inlineStr">
        <is>
          <t>T202</t>
        </is>
      </c>
      <c r="T489" s="9" t="inlineStr">
        <is>
          <t>بله</t>
        </is>
      </c>
    </row>
    <row r="490">
      <c r="A490" s="9" t="inlineStr">
        <is>
          <t>1405-0489</t>
        </is>
      </c>
      <c r="B490" s="9" t="inlineStr">
        <is>
          <t>موسسه شهر کتاب مرکزی</t>
        </is>
      </c>
      <c r="C490" s="9" t="inlineStr">
        <is>
          <t>کنترل فصلی</t>
        </is>
      </c>
      <c r="D490" s="9" t="inlineStr">
        <is>
          <t>کنترل جامع حساب‌ها و گزارش فصلی پاییز</t>
        </is>
      </c>
      <c r="E490" s="9" t="inlineStr">
        <is>
          <t>فصلی</t>
        </is>
      </c>
      <c r="F490" s="9" t="inlineStr">
        <is>
          <t>پاییز</t>
        </is>
      </c>
      <c r="G490" s="10" t="n">
        <v>46397</v>
      </c>
      <c r="H490" s="9" t="inlineStr">
        <is>
          <t>1405/10/20</t>
        </is>
      </c>
      <c r="I490" s="9" t="n">
        <v>10</v>
      </c>
      <c r="J490" s="10">
        <f>IF(G490="","",G490-I490)</f>
        <v/>
      </c>
      <c r="K490" s="9" t="inlineStr">
        <is>
          <t>بالا</t>
        </is>
      </c>
      <c r="L490" s="9" t="inlineStr">
        <is>
          <t>باز</t>
        </is>
      </c>
      <c r="M490" s="9">
        <f>IF(D490="","",IF(L490="انجام شده","انجام شده",IF(L490="لغو شده","لغو شده",IF(G490&lt;TODAY(),"عقب‌افتاده",IF(G490=TODAY(),"امروز",IF(G490&lt;=TODAY()+7,"تا ۷ روز",IF(G490&lt;=TODAY()+15,"تا ۱۵ روز","آینده")))))))</f>
        <v/>
      </c>
      <c r="N490" s="9" t="inlineStr"/>
      <c r="O490" s="9" t="n">
        <v>0</v>
      </c>
      <c r="P490" s="10" t="n"/>
      <c r="Q490" s="9" t="inlineStr"/>
      <c r="R490" s="9" t="inlineStr">
        <is>
          <t>پیش‌فرض 1405</t>
        </is>
      </c>
      <c r="S490" s="9" t="inlineStr">
        <is>
          <t>T203</t>
        </is>
      </c>
      <c r="T490" s="9" t="inlineStr">
        <is>
          <t>بله</t>
        </is>
      </c>
    </row>
    <row r="491">
      <c r="A491" s="9" t="inlineStr">
        <is>
          <t>1405-0490</t>
        </is>
      </c>
      <c r="B491" s="9" t="inlineStr">
        <is>
          <t>موسسه شهر کتاب مرکزی</t>
        </is>
      </c>
      <c r="C491" s="9" t="inlineStr">
        <is>
          <t>مالیات</t>
        </is>
      </c>
      <c r="D491" s="9" t="inlineStr">
        <is>
          <t>تهیه و ارسال اظهارنامه ارزش افزوده فصل زمستان</t>
        </is>
      </c>
      <c r="E491" s="9" t="inlineStr">
        <is>
          <t>فصلی</t>
        </is>
      </c>
      <c r="F491" s="9" t="inlineStr">
        <is>
          <t>زمستان</t>
        </is>
      </c>
      <c r="G491" s="10" t="n">
        <v>46481</v>
      </c>
      <c r="H491" s="9" t="inlineStr">
        <is>
          <t>1406/01/15</t>
        </is>
      </c>
      <c r="I491" s="9" t="n">
        <v>10</v>
      </c>
      <c r="J491" s="10">
        <f>IF(G491="","",G491-I491)</f>
        <v/>
      </c>
      <c r="K491" s="9" t="inlineStr">
        <is>
          <t>خیلی بالا</t>
        </is>
      </c>
      <c r="L491" s="9" t="inlineStr">
        <is>
          <t>باز</t>
        </is>
      </c>
      <c r="M491" s="9">
        <f>IF(D491="","",IF(L491="انجام شده","انجام شده",IF(L491="لغو شده","لغو شده",IF(G491&lt;TODAY(),"عقب‌افتاده",IF(G491=TODAY(),"امروز",IF(G491&lt;=TODAY()+7,"تا ۷ روز",IF(G491&lt;=TODAY()+15,"تا ۱۵ روز","آینده")))))))</f>
        <v/>
      </c>
      <c r="N491" s="9" t="inlineStr"/>
      <c r="O491" s="9" t="n">
        <v>0</v>
      </c>
      <c r="P491" s="10" t="n"/>
      <c r="Q491" s="9" t="inlineStr"/>
      <c r="R491" s="9" t="inlineStr">
        <is>
          <t>پیش‌فرض 1405</t>
        </is>
      </c>
      <c r="S491" s="9" t="inlineStr">
        <is>
          <t>T201</t>
        </is>
      </c>
      <c r="T491" s="9" t="inlineStr">
        <is>
          <t>بله</t>
        </is>
      </c>
    </row>
    <row r="492">
      <c r="A492" s="9" t="inlineStr">
        <is>
          <t>1405-0491</t>
        </is>
      </c>
      <c r="B492" s="9" t="inlineStr">
        <is>
          <t>موسسه شهر کتاب مرکزی</t>
        </is>
      </c>
      <c r="C492" s="9" t="inlineStr">
        <is>
          <t>مالیات</t>
        </is>
      </c>
      <c r="D492" s="9" t="inlineStr">
        <is>
          <t>تهیه و ارسال معاملات فصلی فصل زمستان</t>
        </is>
      </c>
      <c r="E492" s="9" t="inlineStr">
        <is>
          <t>فصلی</t>
        </is>
      </c>
      <c r="F492" s="9" t="inlineStr">
        <is>
          <t>زمستان</t>
        </is>
      </c>
      <c r="G492" s="10" t="n">
        <v>46511</v>
      </c>
      <c r="H492" s="9" t="inlineStr">
        <is>
          <t>1406/02/14</t>
        </is>
      </c>
      <c r="I492" s="9" t="n">
        <v>10</v>
      </c>
      <c r="J492" s="10">
        <f>IF(G492="","",G492-I492)</f>
        <v/>
      </c>
      <c r="K492" s="9" t="inlineStr">
        <is>
          <t>خیلی بالا</t>
        </is>
      </c>
      <c r="L492" s="9" t="inlineStr">
        <is>
          <t>باز</t>
        </is>
      </c>
      <c r="M492" s="9">
        <f>IF(D492="","",IF(L492="انجام شده","انجام شده",IF(L492="لغو شده","لغو شده",IF(G492&lt;TODAY(),"عقب‌افتاده",IF(G492=TODAY(),"امروز",IF(G492&lt;=TODAY()+7,"تا ۷ روز",IF(G492&lt;=TODAY()+15,"تا ۱۵ روز","آینده")))))))</f>
        <v/>
      </c>
      <c r="N492" s="9" t="inlineStr"/>
      <c r="O492" s="9" t="n">
        <v>0</v>
      </c>
      <c r="P492" s="10" t="n"/>
      <c r="Q492" s="9" t="inlineStr"/>
      <c r="R492" s="9" t="inlineStr">
        <is>
          <t>پیش‌فرض 1405</t>
        </is>
      </c>
      <c r="S492" s="9" t="inlineStr">
        <is>
          <t>T202</t>
        </is>
      </c>
      <c r="T492" s="9" t="inlineStr">
        <is>
          <t>بله</t>
        </is>
      </c>
    </row>
    <row r="493">
      <c r="A493" s="9" t="inlineStr">
        <is>
          <t>1405-0492</t>
        </is>
      </c>
      <c r="B493" s="9" t="inlineStr">
        <is>
          <t>موسسه شهر کتاب مرکزی</t>
        </is>
      </c>
      <c r="C493" s="9" t="inlineStr">
        <is>
          <t>کنترل فصلی</t>
        </is>
      </c>
      <c r="D493" s="9" t="inlineStr">
        <is>
          <t>کنترل جامع حساب‌ها و گزارش فصلی زمستان</t>
        </is>
      </c>
      <c r="E493" s="9" t="inlineStr">
        <is>
          <t>فصلی</t>
        </is>
      </c>
      <c r="F493" s="9" t="inlineStr">
        <is>
          <t>زمستان</t>
        </is>
      </c>
      <c r="G493" s="10" t="n">
        <v>46486</v>
      </c>
      <c r="H493" s="9" t="inlineStr">
        <is>
          <t>1406/01/20</t>
        </is>
      </c>
      <c r="I493" s="9" t="n">
        <v>10</v>
      </c>
      <c r="J493" s="10">
        <f>IF(G493="","",G493-I493)</f>
        <v/>
      </c>
      <c r="K493" s="9" t="inlineStr">
        <is>
          <t>بالا</t>
        </is>
      </c>
      <c r="L493" s="9" t="inlineStr">
        <is>
          <t>باز</t>
        </is>
      </c>
      <c r="M493" s="9">
        <f>IF(D493="","",IF(L493="انجام شده","انجام شده",IF(L493="لغو شده","لغو شده",IF(G493&lt;TODAY(),"عقب‌افتاده",IF(G493=TODAY(),"امروز",IF(G493&lt;=TODAY()+7,"تا ۷ روز",IF(G493&lt;=TODAY()+15,"تا ۱۵ روز","آینده")))))))</f>
        <v/>
      </c>
      <c r="N493" s="9" t="inlineStr"/>
      <c r="O493" s="9" t="n">
        <v>0</v>
      </c>
      <c r="P493" s="10" t="n"/>
      <c r="Q493" s="9" t="inlineStr"/>
      <c r="R493" s="9" t="inlineStr">
        <is>
          <t>پیش‌فرض 1405</t>
        </is>
      </c>
      <c r="S493" s="9" t="inlineStr">
        <is>
          <t>T203</t>
        </is>
      </c>
      <c r="T493" s="9" t="inlineStr">
        <is>
          <t>بله</t>
        </is>
      </c>
    </row>
    <row r="494">
      <c r="A494" s="9" t="inlineStr">
        <is>
          <t>1405-0493</t>
        </is>
      </c>
      <c r="B494" s="9" t="inlineStr">
        <is>
          <t>فروشگاه شهر کتاب مرکزی</t>
        </is>
      </c>
      <c r="C494" s="9" t="inlineStr">
        <is>
          <t>مالیات</t>
        </is>
      </c>
      <c r="D494" s="9" t="inlineStr">
        <is>
          <t>تهیه و ارسال اظهارنامه ارزش افزوده فصل بهار</t>
        </is>
      </c>
      <c r="E494" s="9" t="inlineStr">
        <is>
          <t>فصلی</t>
        </is>
      </c>
      <c r="F494" s="9" t="inlineStr">
        <is>
          <t>بهار</t>
        </is>
      </c>
      <c r="G494" s="10" t="n">
        <v>46209</v>
      </c>
      <c r="H494" s="9" t="inlineStr">
        <is>
          <t>1405/04/15</t>
        </is>
      </c>
      <c r="I494" s="9" t="n">
        <v>10</v>
      </c>
      <c r="J494" s="10">
        <f>IF(G494="","",G494-I494)</f>
        <v/>
      </c>
      <c r="K494" s="9" t="inlineStr">
        <is>
          <t>خیلی بالا</t>
        </is>
      </c>
      <c r="L494" s="9" t="inlineStr">
        <is>
          <t>باز</t>
        </is>
      </c>
      <c r="M494" s="9">
        <f>IF(D494="","",IF(L494="انجام شده","انجام شده",IF(L494="لغو شده","لغو شده",IF(G494&lt;TODAY(),"عقب‌افتاده",IF(G494=TODAY(),"امروز",IF(G494&lt;=TODAY()+7,"تا ۷ روز",IF(G494&lt;=TODAY()+15,"تا ۱۵ روز","آینده")))))))</f>
        <v/>
      </c>
      <c r="N494" s="9" t="inlineStr"/>
      <c r="O494" s="9" t="n">
        <v>0</v>
      </c>
      <c r="P494" s="10" t="n"/>
      <c r="Q494" s="9" t="inlineStr"/>
      <c r="R494" s="9" t="inlineStr">
        <is>
          <t>پیش‌فرض 1405</t>
        </is>
      </c>
      <c r="S494" s="9" t="inlineStr">
        <is>
          <t>T201</t>
        </is>
      </c>
      <c r="T494" s="9" t="inlineStr">
        <is>
          <t>بله</t>
        </is>
      </c>
    </row>
    <row r="495">
      <c r="A495" s="9" t="inlineStr">
        <is>
          <t>1405-0494</t>
        </is>
      </c>
      <c r="B495" s="9" t="inlineStr">
        <is>
          <t>فروشگاه شهر کتاب مرکزی</t>
        </is>
      </c>
      <c r="C495" s="9" t="inlineStr">
        <is>
          <t>مالیات</t>
        </is>
      </c>
      <c r="D495" s="9" t="inlineStr">
        <is>
          <t>تهیه و ارسال معاملات فصلی فصل بهار</t>
        </is>
      </c>
      <c r="E495" s="9" t="inlineStr">
        <is>
          <t>فصلی</t>
        </is>
      </c>
      <c r="F495" s="9" t="inlineStr">
        <is>
          <t>بهار</t>
        </is>
      </c>
      <c r="G495" s="10" t="n">
        <v>46239</v>
      </c>
      <c r="H495" s="9" t="inlineStr">
        <is>
          <t>1405/05/14</t>
        </is>
      </c>
      <c r="I495" s="9" t="n">
        <v>10</v>
      </c>
      <c r="J495" s="10">
        <f>IF(G495="","",G495-I495)</f>
        <v/>
      </c>
      <c r="K495" s="9" t="inlineStr">
        <is>
          <t>خیلی بالا</t>
        </is>
      </c>
      <c r="L495" s="9" t="inlineStr">
        <is>
          <t>باز</t>
        </is>
      </c>
      <c r="M495" s="9">
        <f>IF(D495="","",IF(L495="انجام شده","انجام شده",IF(L495="لغو شده","لغو شده",IF(G495&lt;TODAY(),"عقب‌افتاده",IF(G495=TODAY(),"امروز",IF(G495&lt;=TODAY()+7,"تا ۷ روز",IF(G495&lt;=TODAY()+15,"تا ۱۵ روز","آینده")))))))</f>
        <v/>
      </c>
      <c r="N495" s="9" t="inlineStr"/>
      <c r="O495" s="9" t="n">
        <v>0</v>
      </c>
      <c r="P495" s="10" t="n"/>
      <c r="Q495" s="9" t="inlineStr"/>
      <c r="R495" s="9" t="inlineStr">
        <is>
          <t>پیش‌فرض 1405</t>
        </is>
      </c>
      <c r="S495" s="9" t="inlineStr">
        <is>
          <t>T202</t>
        </is>
      </c>
      <c r="T495" s="9" t="inlineStr">
        <is>
          <t>بله</t>
        </is>
      </c>
    </row>
    <row r="496">
      <c r="A496" s="9" t="inlineStr">
        <is>
          <t>1405-0495</t>
        </is>
      </c>
      <c r="B496" s="9" t="inlineStr">
        <is>
          <t>فروشگاه شهر کتاب مرکزی</t>
        </is>
      </c>
      <c r="C496" s="9" t="inlineStr">
        <is>
          <t>کنترل فصلی</t>
        </is>
      </c>
      <c r="D496" s="9" t="inlineStr">
        <is>
          <t>کنترل جامع حساب‌ها و گزارش فصلی بهار</t>
        </is>
      </c>
      <c r="E496" s="9" t="inlineStr">
        <is>
          <t>فصلی</t>
        </is>
      </c>
      <c r="F496" s="9" t="inlineStr">
        <is>
          <t>بهار</t>
        </is>
      </c>
      <c r="G496" s="10" t="n">
        <v>46214</v>
      </c>
      <c r="H496" s="9" t="inlineStr">
        <is>
          <t>1405/04/20</t>
        </is>
      </c>
      <c r="I496" s="9" t="n">
        <v>10</v>
      </c>
      <c r="J496" s="10">
        <f>IF(G496="","",G496-I496)</f>
        <v/>
      </c>
      <c r="K496" s="9" t="inlineStr">
        <is>
          <t>بالا</t>
        </is>
      </c>
      <c r="L496" s="9" t="inlineStr">
        <is>
          <t>باز</t>
        </is>
      </c>
      <c r="M496" s="9">
        <f>IF(D496="","",IF(L496="انجام شده","انجام شده",IF(L496="لغو شده","لغو شده",IF(G496&lt;TODAY(),"عقب‌افتاده",IF(G496=TODAY(),"امروز",IF(G496&lt;=TODAY()+7,"تا ۷ روز",IF(G496&lt;=TODAY()+15,"تا ۱۵ روز","آینده")))))))</f>
        <v/>
      </c>
      <c r="N496" s="9" t="inlineStr"/>
      <c r="O496" s="9" t="n">
        <v>0</v>
      </c>
      <c r="P496" s="10" t="n"/>
      <c r="Q496" s="9" t="inlineStr"/>
      <c r="R496" s="9" t="inlineStr">
        <is>
          <t>پیش‌فرض 1405</t>
        </is>
      </c>
      <c r="S496" s="9" t="inlineStr">
        <is>
          <t>T203</t>
        </is>
      </c>
      <c r="T496" s="9" t="inlineStr">
        <is>
          <t>بله</t>
        </is>
      </c>
    </row>
    <row r="497">
      <c r="A497" s="9" t="inlineStr">
        <is>
          <t>1405-0496</t>
        </is>
      </c>
      <c r="B497" s="9" t="inlineStr">
        <is>
          <t>فروشگاه شهر کتاب مرکزی</t>
        </is>
      </c>
      <c r="C497" s="9" t="inlineStr">
        <is>
          <t>مالیات</t>
        </is>
      </c>
      <c r="D497" s="9" t="inlineStr">
        <is>
          <t>تهیه و ارسال اظهارنامه ارزش افزوده فصل تابستان</t>
        </is>
      </c>
      <c r="E497" s="9" t="inlineStr">
        <is>
          <t>فصلی</t>
        </is>
      </c>
      <c r="F497" s="9" t="inlineStr">
        <is>
          <t>تابستان</t>
        </is>
      </c>
      <c r="G497" s="10" t="n">
        <v>46302</v>
      </c>
      <c r="H497" s="9" t="inlineStr">
        <is>
          <t>1405/07/15</t>
        </is>
      </c>
      <c r="I497" s="9" t="n">
        <v>10</v>
      </c>
      <c r="J497" s="10">
        <f>IF(G497="","",G497-I497)</f>
        <v/>
      </c>
      <c r="K497" s="9" t="inlineStr">
        <is>
          <t>خیلی بالا</t>
        </is>
      </c>
      <c r="L497" s="9" t="inlineStr">
        <is>
          <t>باز</t>
        </is>
      </c>
      <c r="M497" s="9">
        <f>IF(D497="","",IF(L497="انجام شده","انجام شده",IF(L497="لغو شده","لغو شده",IF(G497&lt;TODAY(),"عقب‌افتاده",IF(G497=TODAY(),"امروز",IF(G497&lt;=TODAY()+7,"تا ۷ روز",IF(G497&lt;=TODAY()+15,"تا ۱۵ روز","آینده")))))))</f>
        <v/>
      </c>
      <c r="N497" s="9" t="inlineStr"/>
      <c r="O497" s="9" t="n">
        <v>0</v>
      </c>
      <c r="P497" s="10" t="n"/>
      <c r="Q497" s="9" t="inlineStr"/>
      <c r="R497" s="9" t="inlineStr">
        <is>
          <t>پیش‌فرض 1405</t>
        </is>
      </c>
      <c r="S497" s="9" t="inlineStr">
        <is>
          <t>T201</t>
        </is>
      </c>
      <c r="T497" s="9" t="inlineStr">
        <is>
          <t>بله</t>
        </is>
      </c>
    </row>
    <row r="498">
      <c r="A498" s="9" t="inlineStr">
        <is>
          <t>1405-0497</t>
        </is>
      </c>
      <c r="B498" s="9" t="inlineStr">
        <is>
          <t>فروشگاه شهر کتاب مرکزی</t>
        </is>
      </c>
      <c r="C498" s="9" t="inlineStr">
        <is>
          <t>مالیات</t>
        </is>
      </c>
      <c r="D498" s="9" t="inlineStr">
        <is>
          <t>تهیه و ارسال معاملات فصلی فصل تابستان</t>
        </is>
      </c>
      <c r="E498" s="9" t="inlineStr">
        <is>
          <t>فصلی</t>
        </is>
      </c>
      <c r="F498" s="9" t="inlineStr">
        <is>
          <t>تابستان</t>
        </is>
      </c>
      <c r="G498" s="10" t="n">
        <v>46332</v>
      </c>
      <c r="H498" s="9" t="inlineStr">
        <is>
          <t>1405/08/15</t>
        </is>
      </c>
      <c r="I498" s="9" t="n">
        <v>10</v>
      </c>
      <c r="J498" s="10">
        <f>IF(G498="","",G498-I498)</f>
        <v/>
      </c>
      <c r="K498" s="9" t="inlineStr">
        <is>
          <t>خیلی بالا</t>
        </is>
      </c>
      <c r="L498" s="9" t="inlineStr">
        <is>
          <t>باز</t>
        </is>
      </c>
      <c r="M498" s="9">
        <f>IF(D498="","",IF(L498="انجام شده","انجام شده",IF(L498="لغو شده","لغو شده",IF(G498&lt;TODAY(),"عقب‌افتاده",IF(G498=TODAY(),"امروز",IF(G498&lt;=TODAY()+7,"تا ۷ روز",IF(G498&lt;=TODAY()+15,"تا ۱۵ روز","آینده")))))))</f>
        <v/>
      </c>
      <c r="N498" s="9" t="inlineStr"/>
      <c r="O498" s="9" t="n">
        <v>0</v>
      </c>
      <c r="P498" s="10" t="n"/>
      <c r="Q498" s="9" t="inlineStr"/>
      <c r="R498" s="9" t="inlineStr">
        <is>
          <t>پیش‌فرض 1405</t>
        </is>
      </c>
      <c r="S498" s="9" t="inlineStr">
        <is>
          <t>T202</t>
        </is>
      </c>
      <c r="T498" s="9" t="inlineStr">
        <is>
          <t>بله</t>
        </is>
      </c>
    </row>
    <row r="499">
      <c r="A499" s="9" t="inlineStr">
        <is>
          <t>1405-0498</t>
        </is>
      </c>
      <c r="B499" s="9" t="inlineStr">
        <is>
          <t>فروشگاه شهر کتاب مرکزی</t>
        </is>
      </c>
      <c r="C499" s="9" t="inlineStr">
        <is>
          <t>کنترل فصلی</t>
        </is>
      </c>
      <c r="D499" s="9" t="inlineStr">
        <is>
          <t>کنترل جامع حساب‌ها و گزارش فصلی تابستان</t>
        </is>
      </c>
      <c r="E499" s="9" t="inlineStr">
        <is>
          <t>فصلی</t>
        </is>
      </c>
      <c r="F499" s="9" t="inlineStr">
        <is>
          <t>تابستان</t>
        </is>
      </c>
      <c r="G499" s="10" t="n">
        <v>46307</v>
      </c>
      <c r="H499" s="9" t="inlineStr">
        <is>
          <t>1405/07/20</t>
        </is>
      </c>
      <c r="I499" s="9" t="n">
        <v>10</v>
      </c>
      <c r="J499" s="10">
        <f>IF(G499="","",G499-I499)</f>
        <v/>
      </c>
      <c r="K499" s="9" t="inlineStr">
        <is>
          <t>بالا</t>
        </is>
      </c>
      <c r="L499" s="9" t="inlineStr">
        <is>
          <t>باز</t>
        </is>
      </c>
      <c r="M499" s="9">
        <f>IF(D499="","",IF(L499="انجام شده","انجام شده",IF(L499="لغو شده","لغو شده",IF(G499&lt;TODAY(),"عقب‌افتاده",IF(G499=TODAY(),"امروز",IF(G499&lt;=TODAY()+7,"تا ۷ روز",IF(G499&lt;=TODAY()+15,"تا ۱۵ روز","آینده")))))))</f>
        <v/>
      </c>
      <c r="N499" s="9" t="inlineStr"/>
      <c r="O499" s="9" t="n">
        <v>0</v>
      </c>
      <c r="P499" s="10" t="n"/>
      <c r="Q499" s="9" t="inlineStr"/>
      <c r="R499" s="9" t="inlineStr">
        <is>
          <t>پیش‌فرض 1405</t>
        </is>
      </c>
      <c r="S499" s="9" t="inlineStr">
        <is>
          <t>T203</t>
        </is>
      </c>
      <c r="T499" s="9" t="inlineStr">
        <is>
          <t>بله</t>
        </is>
      </c>
    </row>
    <row r="500">
      <c r="A500" s="9" t="inlineStr">
        <is>
          <t>1405-0499</t>
        </is>
      </c>
      <c r="B500" s="9" t="inlineStr">
        <is>
          <t>فروشگاه شهر کتاب مرکزی</t>
        </is>
      </c>
      <c r="C500" s="9" t="inlineStr">
        <is>
          <t>مالیات</t>
        </is>
      </c>
      <c r="D500" s="9" t="inlineStr">
        <is>
          <t>تهیه و ارسال اظهارنامه ارزش افزوده فصل پاییز</t>
        </is>
      </c>
      <c r="E500" s="9" t="inlineStr">
        <is>
          <t>فصلی</t>
        </is>
      </c>
      <c r="F500" s="9" t="inlineStr">
        <is>
          <t>پاییز</t>
        </is>
      </c>
      <c r="G500" s="10" t="n">
        <v>46392</v>
      </c>
      <c r="H500" s="9" t="inlineStr">
        <is>
          <t>1405/10/15</t>
        </is>
      </c>
      <c r="I500" s="9" t="n">
        <v>10</v>
      </c>
      <c r="J500" s="10">
        <f>IF(G500="","",G500-I500)</f>
        <v/>
      </c>
      <c r="K500" s="9" t="inlineStr">
        <is>
          <t>خیلی بالا</t>
        </is>
      </c>
      <c r="L500" s="9" t="inlineStr">
        <is>
          <t>باز</t>
        </is>
      </c>
      <c r="M500" s="9">
        <f>IF(D500="","",IF(L500="انجام شده","انجام شده",IF(L500="لغو شده","لغو شده",IF(G500&lt;TODAY(),"عقب‌افتاده",IF(G500=TODAY(),"امروز",IF(G500&lt;=TODAY()+7,"تا ۷ روز",IF(G500&lt;=TODAY()+15,"تا ۱۵ روز","آینده")))))))</f>
        <v/>
      </c>
      <c r="N500" s="9" t="inlineStr"/>
      <c r="O500" s="9" t="n">
        <v>0</v>
      </c>
      <c r="P500" s="10" t="n"/>
      <c r="Q500" s="9" t="inlineStr"/>
      <c r="R500" s="9" t="inlineStr">
        <is>
          <t>پیش‌فرض 1405</t>
        </is>
      </c>
      <c r="S500" s="9" t="inlineStr">
        <is>
          <t>T201</t>
        </is>
      </c>
      <c r="T500" s="9" t="inlineStr">
        <is>
          <t>بله</t>
        </is>
      </c>
    </row>
    <row r="501">
      <c r="A501" s="9" t="inlineStr">
        <is>
          <t>1405-0500</t>
        </is>
      </c>
      <c r="B501" s="9" t="inlineStr">
        <is>
          <t>فروشگاه شهر کتاب مرکزی</t>
        </is>
      </c>
      <c r="C501" s="9" t="inlineStr">
        <is>
          <t>مالیات</t>
        </is>
      </c>
      <c r="D501" s="9" t="inlineStr">
        <is>
          <t>تهیه و ارسال معاملات فصلی فصل پاییز</t>
        </is>
      </c>
      <c r="E501" s="9" t="inlineStr">
        <is>
          <t>فصلی</t>
        </is>
      </c>
      <c r="F501" s="9" t="inlineStr">
        <is>
          <t>پاییز</t>
        </is>
      </c>
      <c r="G501" s="10" t="n">
        <v>46422</v>
      </c>
      <c r="H501" s="9" t="inlineStr">
        <is>
          <t>1405/11/15</t>
        </is>
      </c>
      <c r="I501" s="9" t="n">
        <v>10</v>
      </c>
      <c r="J501" s="10">
        <f>IF(G501="","",G501-I501)</f>
        <v/>
      </c>
      <c r="K501" s="9" t="inlineStr">
        <is>
          <t>خیلی بالا</t>
        </is>
      </c>
      <c r="L501" s="9" t="inlineStr">
        <is>
          <t>باز</t>
        </is>
      </c>
      <c r="M501" s="9">
        <f>IF(D501="","",IF(L501="انجام شده","انجام شده",IF(L501="لغو شده","لغو شده",IF(G501&lt;TODAY(),"عقب‌افتاده",IF(G501=TODAY(),"امروز",IF(G501&lt;=TODAY()+7,"تا ۷ روز",IF(G501&lt;=TODAY()+15,"تا ۱۵ روز","آینده")))))))</f>
        <v/>
      </c>
      <c r="N501" s="9" t="inlineStr"/>
      <c r="O501" s="9" t="n">
        <v>0</v>
      </c>
      <c r="P501" s="10" t="n"/>
      <c r="Q501" s="9" t="inlineStr"/>
      <c r="R501" s="9" t="inlineStr">
        <is>
          <t>پیش‌فرض 1405</t>
        </is>
      </c>
      <c r="S501" s="9" t="inlineStr">
        <is>
          <t>T202</t>
        </is>
      </c>
      <c r="T501" s="9" t="inlineStr">
        <is>
          <t>بله</t>
        </is>
      </c>
    </row>
    <row r="502">
      <c r="A502" s="9" t="inlineStr">
        <is>
          <t>1405-0501</t>
        </is>
      </c>
      <c r="B502" s="9" t="inlineStr">
        <is>
          <t>فروشگاه شهر کتاب مرکزی</t>
        </is>
      </c>
      <c r="C502" s="9" t="inlineStr">
        <is>
          <t>کنترل فصلی</t>
        </is>
      </c>
      <c r="D502" s="9" t="inlineStr">
        <is>
          <t>کنترل جامع حساب‌ها و گزارش فصلی پاییز</t>
        </is>
      </c>
      <c r="E502" s="9" t="inlineStr">
        <is>
          <t>فصلی</t>
        </is>
      </c>
      <c r="F502" s="9" t="inlineStr">
        <is>
          <t>پاییز</t>
        </is>
      </c>
      <c r="G502" s="10" t="n">
        <v>46397</v>
      </c>
      <c r="H502" s="9" t="inlineStr">
        <is>
          <t>1405/10/20</t>
        </is>
      </c>
      <c r="I502" s="9" t="n">
        <v>10</v>
      </c>
      <c r="J502" s="10">
        <f>IF(G502="","",G502-I502)</f>
        <v/>
      </c>
      <c r="K502" s="9" t="inlineStr">
        <is>
          <t>بالا</t>
        </is>
      </c>
      <c r="L502" s="9" t="inlineStr">
        <is>
          <t>باز</t>
        </is>
      </c>
      <c r="M502" s="9">
        <f>IF(D502="","",IF(L502="انجام شده","انجام شده",IF(L502="لغو شده","لغو شده",IF(G502&lt;TODAY(),"عقب‌افتاده",IF(G502=TODAY(),"امروز",IF(G502&lt;=TODAY()+7,"تا ۷ روز",IF(G502&lt;=TODAY()+15,"تا ۱۵ روز","آینده")))))))</f>
        <v/>
      </c>
      <c r="N502" s="9" t="inlineStr"/>
      <c r="O502" s="9" t="n">
        <v>0</v>
      </c>
      <c r="P502" s="10" t="n"/>
      <c r="Q502" s="9" t="inlineStr"/>
      <c r="R502" s="9" t="inlineStr">
        <is>
          <t>پیش‌فرض 1405</t>
        </is>
      </c>
      <c r="S502" s="9" t="inlineStr">
        <is>
          <t>T203</t>
        </is>
      </c>
      <c r="T502" s="9" t="inlineStr">
        <is>
          <t>بله</t>
        </is>
      </c>
    </row>
    <row r="503">
      <c r="A503" s="9" t="inlineStr">
        <is>
          <t>1405-0502</t>
        </is>
      </c>
      <c r="B503" s="9" t="inlineStr">
        <is>
          <t>فروشگاه شهر کتاب مرکزی</t>
        </is>
      </c>
      <c r="C503" s="9" t="inlineStr">
        <is>
          <t>مالیات</t>
        </is>
      </c>
      <c r="D503" s="9" t="inlineStr">
        <is>
          <t>تهیه و ارسال اظهارنامه ارزش افزوده فصل زمستان</t>
        </is>
      </c>
      <c r="E503" s="9" t="inlineStr">
        <is>
          <t>فصلی</t>
        </is>
      </c>
      <c r="F503" s="9" t="inlineStr">
        <is>
          <t>زمستان</t>
        </is>
      </c>
      <c r="G503" s="10" t="n">
        <v>46481</v>
      </c>
      <c r="H503" s="9" t="inlineStr">
        <is>
          <t>1406/01/15</t>
        </is>
      </c>
      <c r="I503" s="9" t="n">
        <v>10</v>
      </c>
      <c r="J503" s="10">
        <f>IF(G503="","",G503-I503)</f>
        <v/>
      </c>
      <c r="K503" s="9" t="inlineStr">
        <is>
          <t>خیلی بالا</t>
        </is>
      </c>
      <c r="L503" s="9" t="inlineStr">
        <is>
          <t>باز</t>
        </is>
      </c>
      <c r="M503" s="9">
        <f>IF(D503="","",IF(L503="انجام شده","انجام شده",IF(L503="لغو شده","لغو شده",IF(G503&lt;TODAY(),"عقب‌افتاده",IF(G503=TODAY(),"امروز",IF(G503&lt;=TODAY()+7,"تا ۷ روز",IF(G503&lt;=TODAY()+15,"تا ۱۵ روز","آینده")))))))</f>
        <v/>
      </c>
      <c r="N503" s="9" t="inlineStr"/>
      <c r="O503" s="9" t="n">
        <v>0</v>
      </c>
      <c r="P503" s="10" t="n"/>
      <c r="Q503" s="9" t="inlineStr"/>
      <c r="R503" s="9" t="inlineStr">
        <is>
          <t>پیش‌فرض 1405</t>
        </is>
      </c>
      <c r="S503" s="9" t="inlineStr">
        <is>
          <t>T201</t>
        </is>
      </c>
      <c r="T503" s="9" t="inlineStr">
        <is>
          <t>بله</t>
        </is>
      </c>
    </row>
    <row r="504">
      <c r="A504" s="9" t="inlineStr">
        <is>
          <t>1405-0503</t>
        </is>
      </c>
      <c r="B504" s="9" t="inlineStr">
        <is>
          <t>فروشگاه شهر کتاب مرکزی</t>
        </is>
      </c>
      <c r="C504" s="9" t="inlineStr">
        <is>
          <t>مالیات</t>
        </is>
      </c>
      <c r="D504" s="9" t="inlineStr">
        <is>
          <t>تهیه و ارسال معاملات فصلی فصل زمستان</t>
        </is>
      </c>
      <c r="E504" s="9" t="inlineStr">
        <is>
          <t>فصلی</t>
        </is>
      </c>
      <c r="F504" s="9" t="inlineStr">
        <is>
          <t>زمستان</t>
        </is>
      </c>
      <c r="G504" s="10" t="n">
        <v>46511</v>
      </c>
      <c r="H504" s="9" t="inlineStr">
        <is>
          <t>1406/02/14</t>
        </is>
      </c>
      <c r="I504" s="9" t="n">
        <v>10</v>
      </c>
      <c r="J504" s="10">
        <f>IF(G504="","",G504-I504)</f>
        <v/>
      </c>
      <c r="K504" s="9" t="inlineStr">
        <is>
          <t>خیلی بالا</t>
        </is>
      </c>
      <c r="L504" s="9" t="inlineStr">
        <is>
          <t>باز</t>
        </is>
      </c>
      <c r="M504" s="9">
        <f>IF(D504="","",IF(L504="انجام شده","انجام شده",IF(L504="لغو شده","لغو شده",IF(G504&lt;TODAY(),"عقب‌افتاده",IF(G504=TODAY(),"امروز",IF(G504&lt;=TODAY()+7,"تا ۷ روز",IF(G504&lt;=TODAY()+15,"تا ۱۵ روز","آینده")))))))</f>
        <v/>
      </c>
      <c r="N504" s="9" t="inlineStr"/>
      <c r="O504" s="9" t="n">
        <v>0</v>
      </c>
      <c r="P504" s="10" t="n"/>
      <c r="Q504" s="9" t="inlineStr"/>
      <c r="R504" s="9" t="inlineStr">
        <is>
          <t>پیش‌فرض 1405</t>
        </is>
      </c>
      <c r="S504" s="9" t="inlineStr">
        <is>
          <t>T202</t>
        </is>
      </c>
      <c r="T504" s="9" t="inlineStr">
        <is>
          <t>بله</t>
        </is>
      </c>
    </row>
    <row r="505">
      <c r="A505" s="9" t="inlineStr">
        <is>
          <t>1405-0504</t>
        </is>
      </c>
      <c r="B505" s="9" t="inlineStr">
        <is>
          <t>فروشگاه شهر کتاب مرکزی</t>
        </is>
      </c>
      <c r="C505" s="9" t="inlineStr">
        <is>
          <t>کنترل فصلی</t>
        </is>
      </c>
      <c r="D505" s="9" t="inlineStr">
        <is>
          <t>کنترل جامع حساب‌ها و گزارش فصلی زمستان</t>
        </is>
      </c>
      <c r="E505" s="9" t="inlineStr">
        <is>
          <t>فصلی</t>
        </is>
      </c>
      <c r="F505" s="9" t="inlineStr">
        <is>
          <t>زمستان</t>
        </is>
      </c>
      <c r="G505" s="10" t="n">
        <v>46486</v>
      </c>
      <c r="H505" s="9" t="inlineStr">
        <is>
          <t>1406/01/20</t>
        </is>
      </c>
      <c r="I505" s="9" t="n">
        <v>10</v>
      </c>
      <c r="J505" s="10">
        <f>IF(G505="","",G505-I505)</f>
        <v/>
      </c>
      <c r="K505" s="9" t="inlineStr">
        <is>
          <t>بالا</t>
        </is>
      </c>
      <c r="L505" s="9" t="inlineStr">
        <is>
          <t>باز</t>
        </is>
      </c>
      <c r="M505" s="9">
        <f>IF(D505="","",IF(L505="انجام شده","انجام شده",IF(L505="لغو شده","لغو شده",IF(G505&lt;TODAY(),"عقب‌افتاده",IF(G505=TODAY(),"امروز",IF(G505&lt;=TODAY()+7,"تا ۷ روز",IF(G505&lt;=TODAY()+15,"تا ۱۵ روز","آینده")))))))</f>
        <v/>
      </c>
      <c r="N505" s="9" t="inlineStr"/>
      <c r="O505" s="9" t="n">
        <v>0</v>
      </c>
      <c r="P505" s="10" t="n"/>
      <c r="Q505" s="9" t="inlineStr"/>
      <c r="R505" s="9" t="inlineStr">
        <is>
          <t>پیش‌فرض 1405</t>
        </is>
      </c>
      <c r="S505" s="9" t="inlineStr">
        <is>
          <t>T203</t>
        </is>
      </c>
      <c r="T505" s="9" t="inlineStr">
        <is>
          <t>بله</t>
        </is>
      </c>
    </row>
    <row r="506">
      <c r="A506" s="9" t="inlineStr">
        <is>
          <t>1405-0505</t>
        </is>
      </c>
      <c r="B506" s="9" t="inlineStr">
        <is>
          <t>رستگار صنعت پارس</t>
        </is>
      </c>
      <c r="C506" s="9" t="inlineStr">
        <is>
          <t>مالیات</t>
        </is>
      </c>
      <c r="D506" s="9" t="inlineStr">
        <is>
          <t>تهیه و ارسال اظهارنامه ارزش افزوده فصل بهار</t>
        </is>
      </c>
      <c r="E506" s="9" t="inlineStr">
        <is>
          <t>فصلی</t>
        </is>
      </c>
      <c r="F506" s="9" t="inlineStr">
        <is>
          <t>بهار</t>
        </is>
      </c>
      <c r="G506" s="10" t="n">
        <v>46209</v>
      </c>
      <c r="H506" s="9" t="inlineStr">
        <is>
          <t>1405/04/15</t>
        </is>
      </c>
      <c r="I506" s="9" t="n">
        <v>10</v>
      </c>
      <c r="J506" s="10">
        <f>IF(G506="","",G506-I506)</f>
        <v/>
      </c>
      <c r="K506" s="9" t="inlineStr">
        <is>
          <t>خیلی بالا</t>
        </is>
      </c>
      <c r="L506" s="9" t="inlineStr">
        <is>
          <t>باز</t>
        </is>
      </c>
      <c r="M506" s="9">
        <f>IF(D506="","",IF(L506="انجام شده","انجام شده",IF(L506="لغو شده","لغو شده",IF(G506&lt;TODAY(),"عقب‌افتاده",IF(G506=TODAY(),"امروز",IF(G506&lt;=TODAY()+7,"تا ۷ روز",IF(G506&lt;=TODAY()+15,"تا ۱۵ روز","آینده")))))))</f>
        <v/>
      </c>
      <c r="N506" s="9" t="inlineStr"/>
      <c r="O506" s="9" t="n">
        <v>0</v>
      </c>
      <c r="P506" s="10" t="n"/>
      <c r="Q506" s="9" t="inlineStr"/>
      <c r="R506" s="9" t="inlineStr">
        <is>
          <t>پیش‌فرض 1405</t>
        </is>
      </c>
      <c r="S506" s="9" t="inlineStr">
        <is>
          <t>T201</t>
        </is>
      </c>
      <c r="T506" s="9" t="inlineStr">
        <is>
          <t>بله</t>
        </is>
      </c>
    </row>
    <row r="507">
      <c r="A507" s="9" t="inlineStr">
        <is>
          <t>1405-0506</t>
        </is>
      </c>
      <c r="B507" s="9" t="inlineStr">
        <is>
          <t>رستگار صنعت پارس</t>
        </is>
      </c>
      <c r="C507" s="9" t="inlineStr">
        <is>
          <t>مالیات</t>
        </is>
      </c>
      <c r="D507" s="9" t="inlineStr">
        <is>
          <t>تهیه و ارسال معاملات فصلی فصل بهار</t>
        </is>
      </c>
      <c r="E507" s="9" t="inlineStr">
        <is>
          <t>فصلی</t>
        </is>
      </c>
      <c r="F507" s="9" t="inlineStr">
        <is>
          <t>بهار</t>
        </is>
      </c>
      <c r="G507" s="10" t="n">
        <v>46239</v>
      </c>
      <c r="H507" s="9" t="inlineStr">
        <is>
          <t>1405/05/14</t>
        </is>
      </c>
      <c r="I507" s="9" t="n">
        <v>10</v>
      </c>
      <c r="J507" s="10">
        <f>IF(G507="","",G507-I507)</f>
        <v/>
      </c>
      <c r="K507" s="9" t="inlineStr">
        <is>
          <t>خیلی بالا</t>
        </is>
      </c>
      <c r="L507" s="9" t="inlineStr">
        <is>
          <t>باز</t>
        </is>
      </c>
      <c r="M507" s="9">
        <f>IF(D507="","",IF(L507="انجام شده","انجام شده",IF(L507="لغو شده","لغو شده",IF(G507&lt;TODAY(),"عقب‌افتاده",IF(G507=TODAY(),"امروز",IF(G507&lt;=TODAY()+7,"تا ۷ روز",IF(G507&lt;=TODAY()+15,"تا ۱۵ روز","آینده")))))))</f>
        <v/>
      </c>
      <c r="N507" s="9" t="inlineStr"/>
      <c r="O507" s="9" t="n">
        <v>0</v>
      </c>
      <c r="P507" s="10" t="n"/>
      <c r="Q507" s="9" t="inlineStr"/>
      <c r="R507" s="9" t="inlineStr">
        <is>
          <t>پیش‌فرض 1405</t>
        </is>
      </c>
      <c r="S507" s="9" t="inlineStr">
        <is>
          <t>T202</t>
        </is>
      </c>
      <c r="T507" s="9" t="inlineStr">
        <is>
          <t>بله</t>
        </is>
      </c>
    </row>
    <row r="508">
      <c r="A508" s="9" t="inlineStr">
        <is>
          <t>1405-0507</t>
        </is>
      </c>
      <c r="B508" s="9" t="inlineStr">
        <is>
          <t>رستگار صنعت پارس</t>
        </is>
      </c>
      <c r="C508" s="9" t="inlineStr">
        <is>
          <t>کنترل فصلی</t>
        </is>
      </c>
      <c r="D508" s="9" t="inlineStr">
        <is>
          <t>کنترل جامع حساب‌ها و گزارش فصلی بهار</t>
        </is>
      </c>
      <c r="E508" s="9" t="inlineStr">
        <is>
          <t>فصلی</t>
        </is>
      </c>
      <c r="F508" s="9" t="inlineStr">
        <is>
          <t>بهار</t>
        </is>
      </c>
      <c r="G508" s="10" t="n">
        <v>46214</v>
      </c>
      <c r="H508" s="9" t="inlineStr">
        <is>
          <t>1405/04/20</t>
        </is>
      </c>
      <c r="I508" s="9" t="n">
        <v>10</v>
      </c>
      <c r="J508" s="10">
        <f>IF(G508="","",G508-I508)</f>
        <v/>
      </c>
      <c r="K508" s="9" t="inlineStr">
        <is>
          <t>بالا</t>
        </is>
      </c>
      <c r="L508" s="9" t="inlineStr">
        <is>
          <t>باز</t>
        </is>
      </c>
      <c r="M508" s="9">
        <f>IF(D508="","",IF(L508="انجام شده","انجام شده",IF(L508="لغو شده","لغو شده",IF(G508&lt;TODAY(),"عقب‌افتاده",IF(G508=TODAY(),"امروز",IF(G508&lt;=TODAY()+7,"تا ۷ روز",IF(G508&lt;=TODAY()+15,"تا ۱۵ روز","آینده")))))))</f>
        <v/>
      </c>
      <c r="N508" s="9" t="inlineStr"/>
      <c r="O508" s="9" t="n">
        <v>0</v>
      </c>
      <c r="P508" s="10" t="n"/>
      <c r="Q508" s="9" t="inlineStr"/>
      <c r="R508" s="9" t="inlineStr">
        <is>
          <t>پیش‌فرض 1405</t>
        </is>
      </c>
      <c r="S508" s="9" t="inlineStr">
        <is>
          <t>T203</t>
        </is>
      </c>
      <c r="T508" s="9" t="inlineStr">
        <is>
          <t>بله</t>
        </is>
      </c>
    </row>
    <row r="509">
      <c r="A509" s="9" t="inlineStr">
        <is>
          <t>1405-0508</t>
        </is>
      </c>
      <c r="B509" s="9" t="inlineStr">
        <is>
          <t>رستگار صنعت پارس</t>
        </is>
      </c>
      <c r="C509" s="9" t="inlineStr">
        <is>
          <t>مالیات</t>
        </is>
      </c>
      <c r="D509" s="9" t="inlineStr">
        <is>
          <t>تهیه و ارسال اظهارنامه ارزش افزوده فصل تابستان</t>
        </is>
      </c>
      <c r="E509" s="9" t="inlineStr">
        <is>
          <t>فصلی</t>
        </is>
      </c>
      <c r="F509" s="9" t="inlineStr">
        <is>
          <t>تابستان</t>
        </is>
      </c>
      <c r="G509" s="10" t="n">
        <v>46302</v>
      </c>
      <c r="H509" s="9" t="inlineStr">
        <is>
          <t>1405/07/15</t>
        </is>
      </c>
      <c r="I509" s="9" t="n">
        <v>10</v>
      </c>
      <c r="J509" s="10">
        <f>IF(G509="","",G509-I509)</f>
        <v/>
      </c>
      <c r="K509" s="9" t="inlineStr">
        <is>
          <t>خیلی بالا</t>
        </is>
      </c>
      <c r="L509" s="9" t="inlineStr">
        <is>
          <t>باز</t>
        </is>
      </c>
      <c r="M509" s="9">
        <f>IF(D509="","",IF(L509="انجام شده","انجام شده",IF(L509="لغو شده","لغو شده",IF(G509&lt;TODAY(),"عقب‌افتاده",IF(G509=TODAY(),"امروز",IF(G509&lt;=TODAY()+7,"تا ۷ روز",IF(G509&lt;=TODAY()+15,"تا ۱۵ روز","آینده")))))))</f>
        <v/>
      </c>
      <c r="N509" s="9" t="inlineStr"/>
      <c r="O509" s="9" t="n">
        <v>0</v>
      </c>
      <c r="P509" s="10" t="n"/>
      <c r="Q509" s="9" t="inlineStr"/>
      <c r="R509" s="9" t="inlineStr">
        <is>
          <t>پیش‌فرض 1405</t>
        </is>
      </c>
      <c r="S509" s="9" t="inlineStr">
        <is>
          <t>T201</t>
        </is>
      </c>
      <c r="T509" s="9" t="inlineStr">
        <is>
          <t>بله</t>
        </is>
      </c>
    </row>
    <row r="510">
      <c r="A510" s="9" t="inlineStr">
        <is>
          <t>1405-0509</t>
        </is>
      </c>
      <c r="B510" s="9" t="inlineStr">
        <is>
          <t>رستگار صنعت پارس</t>
        </is>
      </c>
      <c r="C510" s="9" t="inlineStr">
        <is>
          <t>مالیات</t>
        </is>
      </c>
      <c r="D510" s="9" t="inlineStr">
        <is>
          <t>تهیه و ارسال معاملات فصلی فصل تابستان</t>
        </is>
      </c>
      <c r="E510" s="9" t="inlineStr">
        <is>
          <t>فصلی</t>
        </is>
      </c>
      <c r="F510" s="9" t="inlineStr">
        <is>
          <t>تابستان</t>
        </is>
      </c>
      <c r="G510" s="10" t="n">
        <v>46332</v>
      </c>
      <c r="H510" s="9" t="inlineStr">
        <is>
          <t>1405/08/15</t>
        </is>
      </c>
      <c r="I510" s="9" t="n">
        <v>10</v>
      </c>
      <c r="J510" s="10">
        <f>IF(G510="","",G510-I510)</f>
        <v/>
      </c>
      <c r="K510" s="9" t="inlineStr">
        <is>
          <t>خیلی بالا</t>
        </is>
      </c>
      <c r="L510" s="9" t="inlineStr">
        <is>
          <t>باز</t>
        </is>
      </c>
      <c r="M510" s="9">
        <f>IF(D510="","",IF(L510="انجام شده","انجام شده",IF(L510="لغو شده","لغو شده",IF(G510&lt;TODAY(),"عقب‌افتاده",IF(G510=TODAY(),"امروز",IF(G510&lt;=TODAY()+7,"تا ۷ روز",IF(G510&lt;=TODAY()+15,"تا ۱۵ روز","آینده")))))))</f>
        <v/>
      </c>
      <c r="N510" s="9" t="inlineStr"/>
      <c r="O510" s="9" t="n">
        <v>0</v>
      </c>
      <c r="P510" s="10" t="n"/>
      <c r="Q510" s="9" t="inlineStr"/>
      <c r="R510" s="9" t="inlineStr">
        <is>
          <t>پیش‌فرض 1405</t>
        </is>
      </c>
      <c r="S510" s="9" t="inlineStr">
        <is>
          <t>T202</t>
        </is>
      </c>
      <c r="T510" s="9" t="inlineStr">
        <is>
          <t>بله</t>
        </is>
      </c>
    </row>
    <row r="511">
      <c r="A511" s="9" t="inlineStr">
        <is>
          <t>1405-0510</t>
        </is>
      </c>
      <c r="B511" s="9" t="inlineStr">
        <is>
          <t>رستگار صنعت پارس</t>
        </is>
      </c>
      <c r="C511" s="9" t="inlineStr">
        <is>
          <t>کنترل فصلی</t>
        </is>
      </c>
      <c r="D511" s="9" t="inlineStr">
        <is>
          <t>کنترل جامع حساب‌ها و گزارش فصلی تابستان</t>
        </is>
      </c>
      <c r="E511" s="9" t="inlineStr">
        <is>
          <t>فصلی</t>
        </is>
      </c>
      <c r="F511" s="9" t="inlineStr">
        <is>
          <t>تابستان</t>
        </is>
      </c>
      <c r="G511" s="10" t="n">
        <v>46307</v>
      </c>
      <c r="H511" s="9" t="inlineStr">
        <is>
          <t>1405/07/20</t>
        </is>
      </c>
      <c r="I511" s="9" t="n">
        <v>10</v>
      </c>
      <c r="J511" s="10">
        <f>IF(G511="","",G511-I511)</f>
        <v/>
      </c>
      <c r="K511" s="9" t="inlineStr">
        <is>
          <t>بالا</t>
        </is>
      </c>
      <c r="L511" s="9" t="inlineStr">
        <is>
          <t>باز</t>
        </is>
      </c>
      <c r="M511" s="9">
        <f>IF(D511="","",IF(L511="انجام شده","انجام شده",IF(L511="لغو شده","لغو شده",IF(G511&lt;TODAY(),"عقب‌افتاده",IF(G511=TODAY(),"امروز",IF(G511&lt;=TODAY()+7,"تا ۷ روز",IF(G511&lt;=TODAY()+15,"تا ۱۵ روز","آینده")))))))</f>
        <v/>
      </c>
      <c r="N511" s="9" t="inlineStr"/>
      <c r="O511" s="9" t="n">
        <v>0</v>
      </c>
      <c r="P511" s="10" t="n"/>
      <c r="Q511" s="9" t="inlineStr"/>
      <c r="R511" s="9" t="inlineStr">
        <is>
          <t>پیش‌فرض 1405</t>
        </is>
      </c>
      <c r="S511" s="9" t="inlineStr">
        <is>
          <t>T203</t>
        </is>
      </c>
      <c r="T511" s="9" t="inlineStr">
        <is>
          <t>بله</t>
        </is>
      </c>
    </row>
    <row r="512">
      <c r="A512" s="9" t="inlineStr">
        <is>
          <t>1405-0511</t>
        </is>
      </c>
      <c r="B512" s="9" t="inlineStr">
        <is>
          <t>رستگار صنعت پارس</t>
        </is>
      </c>
      <c r="C512" s="9" t="inlineStr">
        <is>
          <t>مالیات</t>
        </is>
      </c>
      <c r="D512" s="9" t="inlineStr">
        <is>
          <t>تهیه و ارسال اظهارنامه ارزش افزوده فصل پاییز</t>
        </is>
      </c>
      <c r="E512" s="9" t="inlineStr">
        <is>
          <t>فصلی</t>
        </is>
      </c>
      <c r="F512" s="9" t="inlineStr">
        <is>
          <t>پاییز</t>
        </is>
      </c>
      <c r="G512" s="10" t="n">
        <v>46392</v>
      </c>
      <c r="H512" s="9" t="inlineStr">
        <is>
          <t>1405/10/15</t>
        </is>
      </c>
      <c r="I512" s="9" t="n">
        <v>10</v>
      </c>
      <c r="J512" s="10">
        <f>IF(G512="","",G512-I512)</f>
        <v/>
      </c>
      <c r="K512" s="9" t="inlineStr">
        <is>
          <t>خیلی بالا</t>
        </is>
      </c>
      <c r="L512" s="9" t="inlineStr">
        <is>
          <t>باز</t>
        </is>
      </c>
      <c r="M512" s="9">
        <f>IF(D512="","",IF(L512="انجام شده","انجام شده",IF(L512="لغو شده","لغو شده",IF(G512&lt;TODAY(),"عقب‌افتاده",IF(G512=TODAY(),"امروز",IF(G512&lt;=TODAY()+7,"تا ۷ روز",IF(G512&lt;=TODAY()+15,"تا ۱۵ روز","آینده")))))))</f>
        <v/>
      </c>
      <c r="N512" s="9" t="inlineStr"/>
      <c r="O512" s="9" t="n">
        <v>0</v>
      </c>
      <c r="P512" s="10" t="n"/>
      <c r="Q512" s="9" t="inlineStr"/>
      <c r="R512" s="9" t="inlineStr">
        <is>
          <t>پیش‌فرض 1405</t>
        </is>
      </c>
      <c r="S512" s="9" t="inlineStr">
        <is>
          <t>T201</t>
        </is>
      </c>
      <c r="T512" s="9" t="inlineStr">
        <is>
          <t>بله</t>
        </is>
      </c>
    </row>
    <row r="513">
      <c r="A513" s="9" t="inlineStr">
        <is>
          <t>1405-0512</t>
        </is>
      </c>
      <c r="B513" s="9" t="inlineStr">
        <is>
          <t>رستگار صنعت پارس</t>
        </is>
      </c>
      <c r="C513" s="9" t="inlineStr">
        <is>
          <t>مالیات</t>
        </is>
      </c>
      <c r="D513" s="9" t="inlineStr">
        <is>
          <t>تهیه و ارسال معاملات فصلی فصل پاییز</t>
        </is>
      </c>
      <c r="E513" s="9" t="inlineStr">
        <is>
          <t>فصلی</t>
        </is>
      </c>
      <c r="F513" s="9" t="inlineStr">
        <is>
          <t>پاییز</t>
        </is>
      </c>
      <c r="G513" s="10" t="n">
        <v>46422</v>
      </c>
      <c r="H513" s="9" t="inlineStr">
        <is>
          <t>1405/11/15</t>
        </is>
      </c>
      <c r="I513" s="9" t="n">
        <v>10</v>
      </c>
      <c r="J513" s="10">
        <f>IF(G513="","",G513-I513)</f>
        <v/>
      </c>
      <c r="K513" s="9" t="inlineStr">
        <is>
          <t>خیلی بالا</t>
        </is>
      </c>
      <c r="L513" s="9" t="inlineStr">
        <is>
          <t>باز</t>
        </is>
      </c>
      <c r="M513" s="9">
        <f>IF(D513="","",IF(L513="انجام شده","انجام شده",IF(L513="لغو شده","لغو شده",IF(G513&lt;TODAY(),"عقب‌افتاده",IF(G513=TODAY(),"امروز",IF(G513&lt;=TODAY()+7,"تا ۷ روز",IF(G513&lt;=TODAY()+15,"تا ۱۵ روز","آینده")))))))</f>
        <v/>
      </c>
      <c r="N513" s="9" t="inlineStr"/>
      <c r="O513" s="9" t="n">
        <v>0</v>
      </c>
      <c r="P513" s="10" t="n"/>
      <c r="Q513" s="9" t="inlineStr"/>
      <c r="R513" s="9" t="inlineStr">
        <is>
          <t>پیش‌فرض 1405</t>
        </is>
      </c>
      <c r="S513" s="9" t="inlineStr">
        <is>
          <t>T202</t>
        </is>
      </c>
      <c r="T513" s="9" t="inlineStr">
        <is>
          <t>بله</t>
        </is>
      </c>
    </row>
    <row r="514">
      <c r="A514" s="9" t="inlineStr">
        <is>
          <t>1405-0513</t>
        </is>
      </c>
      <c r="B514" s="9" t="inlineStr">
        <is>
          <t>رستگار صنعت پارس</t>
        </is>
      </c>
      <c r="C514" s="9" t="inlineStr">
        <is>
          <t>کنترل فصلی</t>
        </is>
      </c>
      <c r="D514" s="9" t="inlineStr">
        <is>
          <t>کنترل جامع حساب‌ها و گزارش فصلی پاییز</t>
        </is>
      </c>
      <c r="E514" s="9" t="inlineStr">
        <is>
          <t>فصلی</t>
        </is>
      </c>
      <c r="F514" s="9" t="inlineStr">
        <is>
          <t>پاییز</t>
        </is>
      </c>
      <c r="G514" s="10" t="n">
        <v>46397</v>
      </c>
      <c r="H514" s="9" t="inlineStr">
        <is>
          <t>1405/10/20</t>
        </is>
      </c>
      <c r="I514" s="9" t="n">
        <v>10</v>
      </c>
      <c r="J514" s="10">
        <f>IF(G514="","",G514-I514)</f>
        <v/>
      </c>
      <c r="K514" s="9" t="inlineStr">
        <is>
          <t>بالا</t>
        </is>
      </c>
      <c r="L514" s="9" t="inlineStr">
        <is>
          <t>باز</t>
        </is>
      </c>
      <c r="M514" s="9">
        <f>IF(D514="","",IF(L514="انجام شده","انجام شده",IF(L514="لغو شده","لغو شده",IF(G514&lt;TODAY(),"عقب‌افتاده",IF(G514=TODAY(),"امروز",IF(G514&lt;=TODAY()+7,"تا ۷ روز",IF(G514&lt;=TODAY()+15,"تا ۱۵ روز","آینده")))))))</f>
        <v/>
      </c>
      <c r="N514" s="9" t="inlineStr"/>
      <c r="O514" s="9" t="n">
        <v>0</v>
      </c>
      <c r="P514" s="10" t="n"/>
      <c r="Q514" s="9" t="inlineStr"/>
      <c r="R514" s="9" t="inlineStr">
        <is>
          <t>پیش‌فرض 1405</t>
        </is>
      </c>
      <c r="S514" s="9" t="inlineStr">
        <is>
          <t>T203</t>
        </is>
      </c>
      <c r="T514" s="9" t="inlineStr">
        <is>
          <t>بله</t>
        </is>
      </c>
    </row>
    <row r="515">
      <c r="A515" s="9" t="inlineStr">
        <is>
          <t>1405-0514</t>
        </is>
      </c>
      <c r="B515" s="9" t="inlineStr">
        <is>
          <t>رستگار صنعت پارس</t>
        </is>
      </c>
      <c r="C515" s="9" t="inlineStr">
        <is>
          <t>مالیات</t>
        </is>
      </c>
      <c r="D515" s="9" t="inlineStr">
        <is>
          <t>تهیه و ارسال اظهارنامه ارزش افزوده فصل زمستان</t>
        </is>
      </c>
      <c r="E515" s="9" t="inlineStr">
        <is>
          <t>فصلی</t>
        </is>
      </c>
      <c r="F515" s="9" t="inlineStr">
        <is>
          <t>زمستان</t>
        </is>
      </c>
      <c r="G515" s="10" t="n">
        <v>46481</v>
      </c>
      <c r="H515" s="9" t="inlineStr">
        <is>
          <t>1406/01/15</t>
        </is>
      </c>
      <c r="I515" s="9" t="n">
        <v>10</v>
      </c>
      <c r="J515" s="10">
        <f>IF(G515="","",G515-I515)</f>
        <v/>
      </c>
      <c r="K515" s="9" t="inlineStr">
        <is>
          <t>خیلی بالا</t>
        </is>
      </c>
      <c r="L515" s="9" t="inlineStr">
        <is>
          <t>باز</t>
        </is>
      </c>
      <c r="M515" s="9">
        <f>IF(D515="","",IF(L515="انجام شده","انجام شده",IF(L515="لغو شده","لغو شده",IF(G515&lt;TODAY(),"عقب‌افتاده",IF(G515=TODAY(),"امروز",IF(G515&lt;=TODAY()+7,"تا ۷ روز",IF(G515&lt;=TODAY()+15,"تا ۱۵ روز","آینده")))))))</f>
        <v/>
      </c>
      <c r="N515" s="9" t="inlineStr"/>
      <c r="O515" s="9" t="n">
        <v>0</v>
      </c>
      <c r="P515" s="10" t="n"/>
      <c r="Q515" s="9" t="inlineStr"/>
      <c r="R515" s="9" t="inlineStr">
        <is>
          <t>پیش‌فرض 1405</t>
        </is>
      </c>
      <c r="S515" s="9" t="inlineStr">
        <is>
          <t>T201</t>
        </is>
      </c>
      <c r="T515" s="9" t="inlineStr">
        <is>
          <t>بله</t>
        </is>
      </c>
    </row>
    <row r="516">
      <c r="A516" s="9" t="inlineStr">
        <is>
          <t>1405-0515</t>
        </is>
      </c>
      <c r="B516" s="9" t="inlineStr">
        <is>
          <t>رستگار صنعت پارس</t>
        </is>
      </c>
      <c r="C516" s="9" t="inlineStr">
        <is>
          <t>مالیات</t>
        </is>
      </c>
      <c r="D516" s="9" t="inlineStr">
        <is>
          <t>تهیه و ارسال معاملات فصلی فصل زمستان</t>
        </is>
      </c>
      <c r="E516" s="9" t="inlineStr">
        <is>
          <t>فصلی</t>
        </is>
      </c>
      <c r="F516" s="9" t="inlineStr">
        <is>
          <t>زمستان</t>
        </is>
      </c>
      <c r="G516" s="10" t="n">
        <v>46511</v>
      </c>
      <c r="H516" s="9" t="inlineStr">
        <is>
          <t>1406/02/14</t>
        </is>
      </c>
      <c r="I516" s="9" t="n">
        <v>10</v>
      </c>
      <c r="J516" s="10">
        <f>IF(G516="","",G516-I516)</f>
        <v/>
      </c>
      <c r="K516" s="9" t="inlineStr">
        <is>
          <t>خیلی بالا</t>
        </is>
      </c>
      <c r="L516" s="9" t="inlineStr">
        <is>
          <t>باز</t>
        </is>
      </c>
      <c r="M516" s="9">
        <f>IF(D516="","",IF(L516="انجام شده","انجام شده",IF(L516="لغو شده","لغو شده",IF(G516&lt;TODAY(),"عقب‌افتاده",IF(G516=TODAY(),"امروز",IF(G516&lt;=TODAY()+7,"تا ۷ روز",IF(G516&lt;=TODAY()+15,"تا ۱۵ روز","آینده")))))))</f>
        <v/>
      </c>
      <c r="N516" s="9" t="inlineStr"/>
      <c r="O516" s="9" t="n">
        <v>0</v>
      </c>
      <c r="P516" s="10" t="n"/>
      <c r="Q516" s="9" t="inlineStr"/>
      <c r="R516" s="9" t="inlineStr">
        <is>
          <t>پیش‌فرض 1405</t>
        </is>
      </c>
      <c r="S516" s="9" t="inlineStr">
        <is>
          <t>T202</t>
        </is>
      </c>
      <c r="T516" s="9" t="inlineStr">
        <is>
          <t>بله</t>
        </is>
      </c>
    </row>
    <row r="517">
      <c r="A517" s="9" t="inlineStr">
        <is>
          <t>1405-0516</t>
        </is>
      </c>
      <c r="B517" s="9" t="inlineStr">
        <is>
          <t>رستگار صنعت پارس</t>
        </is>
      </c>
      <c r="C517" s="9" t="inlineStr">
        <is>
          <t>کنترل فصلی</t>
        </is>
      </c>
      <c r="D517" s="9" t="inlineStr">
        <is>
          <t>کنترل جامع حساب‌ها و گزارش فصلی زمستان</t>
        </is>
      </c>
      <c r="E517" s="9" t="inlineStr">
        <is>
          <t>فصلی</t>
        </is>
      </c>
      <c r="F517" s="9" t="inlineStr">
        <is>
          <t>زمستان</t>
        </is>
      </c>
      <c r="G517" s="10" t="n">
        <v>46486</v>
      </c>
      <c r="H517" s="9" t="inlineStr">
        <is>
          <t>1406/01/20</t>
        </is>
      </c>
      <c r="I517" s="9" t="n">
        <v>10</v>
      </c>
      <c r="J517" s="10">
        <f>IF(G517="","",G517-I517)</f>
        <v/>
      </c>
      <c r="K517" s="9" t="inlineStr">
        <is>
          <t>بالا</t>
        </is>
      </c>
      <c r="L517" s="9" t="inlineStr">
        <is>
          <t>باز</t>
        </is>
      </c>
      <c r="M517" s="9">
        <f>IF(D517="","",IF(L517="انجام شده","انجام شده",IF(L517="لغو شده","لغو شده",IF(G517&lt;TODAY(),"عقب‌افتاده",IF(G517=TODAY(),"امروز",IF(G517&lt;=TODAY()+7,"تا ۷ روز",IF(G517&lt;=TODAY()+15,"تا ۱۵ روز","آینده")))))))</f>
        <v/>
      </c>
      <c r="N517" s="9" t="inlineStr"/>
      <c r="O517" s="9" t="n">
        <v>0</v>
      </c>
      <c r="P517" s="10" t="n"/>
      <c r="Q517" s="9" t="inlineStr"/>
      <c r="R517" s="9" t="inlineStr">
        <is>
          <t>پیش‌فرض 1405</t>
        </is>
      </c>
      <c r="S517" s="9" t="inlineStr">
        <is>
          <t>T203</t>
        </is>
      </c>
      <c r="T517" s="9" t="inlineStr">
        <is>
          <t>بله</t>
        </is>
      </c>
    </row>
    <row r="518">
      <c r="A518" s="9" t="inlineStr">
        <is>
          <t>1405-0517</t>
        </is>
      </c>
      <c r="B518" s="9" t="inlineStr">
        <is>
          <t>کیوان الکترونیک ایرانیان</t>
        </is>
      </c>
      <c r="C518" s="9" t="inlineStr">
        <is>
          <t>مالیات</t>
        </is>
      </c>
      <c r="D518" s="9" t="inlineStr">
        <is>
          <t>تهیه و ارسال اظهارنامه ارزش افزوده فصل بهار</t>
        </is>
      </c>
      <c r="E518" s="9" t="inlineStr">
        <is>
          <t>فصلی</t>
        </is>
      </c>
      <c r="F518" s="9" t="inlineStr">
        <is>
          <t>بهار</t>
        </is>
      </c>
      <c r="G518" s="10" t="n">
        <v>46209</v>
      </c>
      <c r="H518" s="9" t="inlineStr">
        <is>
          <t>1405/04/15</t>
        </is>
      </c>
      <c r="I518" s="9" t="n">
        <v>10</v>
      </c>
      <c r="J518" s="10">
        <f>IF(G518="","",G518-I518)</f>
        <v/>
      </c>
      <c r="K518" s="9" t="inlineStr">
        <is>
          <t>خیلی بالا</t>
        </is>
      </c>
      <c r="L518" s="9" t="inlineStr">
        <is>
          <t>باز</t>
        </is>
      </c>
      <c r="M518" s="9">
        <f>IF(D518="","",IF(L518="انجام شده","انجام شده",IF(L518="لغو شده","لغو شده",IF(G518&lt;TODAY(),"عقب‌افتاده",IF(G518=TODAY(),"امروز",IF(G518&lt;=TODAY()+7,"تا ۷ روز",IF(G518&lt;=TODAY()+15,"تا ۱۵ روز","آینده")))))))</f>
        <v/>
      </c>
      <c r="N518" s="9" t="inlineStr"/>
      <c r="O518" s="9" t="n">
        <v>0</v>
      </c>
      <c r="P518" s="10" t="n"/>
      <c r="Q518" s="9" t="inlineStr"/>
      <c r="R518" s="9" t="inlineStr">
        <is>
          <t>پیش‌فرض 1405</t>
        </is>
      </c>
      <c r="S518" s="9" t="inlineStr">
        <is>
          <t>T201</t>
        </is>
      </c>
      <c r="T518" s="9" t="inlineStr">
        <is>
          <t>بله</t>
        </is>
      </c>
    </row>
    <row r="519">
      <c r="A519" s="9" t="inlineStr">
        <is>
          <t>1405-0518</t>
        </is>
      </c>
      <c r="B519" s="9" t="inlineStr">
        <is>
          <t>کیوان الکترونیک ایرانیان</t>
        </is>
      </c>
      <c r="C519" s="9" t="inlineStr">
        <is>
          <t>مالیات</t>
        </is>
      </c>
      <c r="D519" s="9" t="inlineStr">
        <is>
          <t>تهیه و ارسال معاملات فصلی فصل بهار</t>
        </is>
      </c>
      <c r="E519" s="9" t="inlineStr">
        <is>
          <t>فصلی</t>
        </is>
      </c>
      <c r="F519" s="9" t="inlineStr">
        <is>
          <t>بهار</t>
        </is>
      </c>
      <c r="G519" s="10" t="n">
        <v>46239</v>
      </c>
      <c r="H519" s="9" t="inlineStr">
        <is>
          <t>1405/05/14</t>
        </is>
      </c>
      <c r="I519" s="9" t="n">
        <v>10</v>
      </c>
      <c r="J519" s="10">
        <f>IF(G519="","",G519-I519)</f>
        <v/>
      </c>
      <c r="K519" s="9" t="inlineStr">
        <is>
          <t>خیلی بالا</t>
        </is>
      </c>
      <c r="L519" s="9" t="inlineStr">
        <is>
          <t>باز</t>
        </is>
      </c>
      <c r="M519" s="9">
        <f>IF(D519="","",IF(L519="انجام شده","انجام شده",IF(L519="لغو شده","لغو شده",IF(G519&lt;TODAY(),"عقب‌افتاده",IF(G519=TODAY(),"امروز",IF(G519&lt;=TODAY()+7,"تا ۷ روز",IF(G519&lt;=TODAY()+15,"تا ۱۵ روز","آینده")))))))</f>
        <v/>
      </c>
      <c r="N519" s="9" t="inlineStr"/>
      <c r="O519" s="9" t="n">
        <v>0</v>
      </c>
      <c r="P519" s="10" t="n"/>
      <c r="Q519" s="9" t="inlineStr"/>
      <c r="R519" s="9" t="inlineStr">
        <is>
          <t>پیش‌فرض 1405</t>
        </is>
      </c>
      <c r="S519" s="9" t="inlineStr">
        <is>
          <t>T202</t>
        </is>
      </c>
      <c r="T519" s="9" t="inlineStr">
        <is>
          <t>بله</t>
        </is>
      </c>
    </row>
    <row r="520">
      <c r="A520" s="9" t="inlineStr">
        <is>
          <t>1405-0519</t>
        </is>
      </c>
      <c r="B520" s="9" t="inlineStr">
        <is>
          <t>کیوان الکترونیک ایرانیان</t>
        </is>
      </c>
      <c r="C520" s="9" t="inlineStr">
        <is>
          <t>کنترل فصلی</t>
        </is>
      </c>
      <c r="D520" s="9" t="inlineStr">
        <is>
          <t>کنترل جامع حساب‌ها و گزارش فصلی بهار</t>
        </is>
      </c>
      <c r="E520" s="9" t="inlineStr">
        <is>
          <t>فصلی</t>
        </is>
      </c>
      <c r="F520" s="9" t="inlineStr">
        <is>
          <t>بهار</t>
        </is>
      </c>
      <c r="G520" s="10" t="n">
        <v>46214</v>
      </c>
      <c r="H520" s="9" t="inlineStr">
        <is>
          <t>1405/04/20</t>
        </is>
      </c>
      <c r="I520" s="9" t="n">
        <v>10</v>
      </c>
      <c r="J520" s="10">
        <f>IF(G520="","",G520-I520)</f>
        <v/>
      </c>
      <c r="K520" s="9" t="inlineStr">
        <is>
          <t>بالا</t>
        </is>
      </c>
      <c r="L520" s="9" t="inlineStr">
        <is>
          <t>باز</t>
        </is>
      </c>
      <c r="M520" s="9">
        <f>IF(D520="","",IF(L520="انجام شده","انجام شده",IF(L520="لغو شده","لغو شده",IF(G520&lt;TODAY(),"عقب‌افتاده",IF(G520=TODAY(),"امروز",IF(G520&lt;=TODAY()+7,"تا ۷ روز",IF(G520&lt;=TODAY()+15,"تا ۱۵ روز","آینده")))))))</f>
        <v/>
      </c>
      <c r="N520" s="9" t="inlineStr"/>
      <c r="O520" s="9" t="n">
        <v>0</v>
      </c>
      <c r="P520" s="10" t="n"/>
      <c r="Q520" s="9" t="inlineStr"/>
      <c r="R520" s="9" t="inlineStr">
        <is>
          <t>پیش‌فرض 1405</t>
        </is>
      </c>
      <c r="S520" s="9" t="inlineStr">
        <is>
          <t>T203</t>
        </is>
      </c>
      <c r="T520" s="9" t="inlineStr">
        <is>
          <t>بله</t>
        </is>
      </c>
    </row>
    <row r="521">
      <c r="A521" s="9" t="inlineStr">
        <is>
          <t>1405-0520</t>
        </is>
      </c>
      <c r="B521" s="9" t="inlineStr">
        <is>
          <t>کیوان الکترونیک ایرانیان</t>
        </is>
      </c>
      <c r="C521" s="9" t="inlineStr">
        <is>
          <t>مالیات</t>
        </is>
      </c>
      <c r="D521" s="9" t="inlineStr">
        <is>
          <t>تهیه و ارسال اظهارنامه ارزش افزوده فصل تابستان</t>
        </is>
      </c>
      <c r="E521" s="9" t="inlineStr">
        <is>
          <t>فصلی</t>
        </is>
      </c>
      <c r="F521" s="9" t="inlineStr">
        <is>
          <t>تابستان</t>
        </is>
      </c>
      <c r="G521" s="10" t="n">
        <v>46302</v>
      </c>
      <c r="H521" s="9" t="inlineStr">
        <is>
          <t>1405/07/15</t>
        </is>
      </c>
      <c r="I521" s="9" t="n">
        <v>10</v>
      </c>
      <c r="J521" s="10">
        <f>IF(G521="","",G521-I521)</f>
        <v/>
      </c>
      <c r="K521" s="9" t="inlineStr">
        <is>
          <t>خیلی بالا</t>
        </is>
      </c>
      <c r="L521" s="9" t="inlineStr">
        <is>
          <t>باز</t>
        </is>
      </c>
      <c r="M521" s="9">
        <f>IF(D521="","",IF(L521="انجام شده","انجام شده",IF(L521="لغو شده","لغو شده",IF(G521&lt;TODAY(),"عقب‌افتاده",IF(G521=TODAY(),"امروز",IF(G521&lt;=TODAY()+7,"تا ۷ روز",IF(G521&lt;=TODAY()+15,"تا ۱۵ روز","آینده")))))))</f>
        <v/>
      </c>
      <c r="N521" s="9" t="inlineStr"/>
      <c r="O521" s="9" t="n">
        <v>0</v>
      </c>
      <c r="P521" s="10" t="n"/>
      <c r="Q521" s="9" t="inlineStr"/>
      <c r="R521" s="9" t="inlineStr">
        <is>
          <t>پیش‌فرض 1405</t>
        </is>
      </c>
      <c r="S521" s="9" t="inlineStr">
        <is>
          <t>T201</t>
        </is>
      </c>
      <c r="T521" s="9" t="inlineStr">
        <is>
          <t>بله</t>
        </is>
      </c>
    </row>
    <row r="522">
      <c r="A522" s="9" t="inlineStr">
        <is>
          <t>1405-0521</t>
        </is>
      </c>
      <c r="B522" s="9" t="inlineStr">
        <is>
          <t>کیوان الکترونیک ایرانیان</t>
        </is>
      </c>
      <c r="C522" s="9" t="inlineStr">
        <is>
          <t>مالیات</t>
        </is>
      </c>
      <c r="D522" s="9" t="inlineStr">
        <is>
          <t>تهیه و ارسال معاملات فصلی فصل تابستان</t>
        </is>
      </c>
      <c r="E522" s="9" t="inlineStr">
        <is>
          <t>فصلی</t>
        </is>
      </c>
      <c r="F522" s="9" t="inlineStr">
        <is>
          <t>تابستان</t>
        </is>
      </c>
      <c r="G522" s="10" t="n">
        <v>46332</v>
      </c>
      <c r="H522" s="9" t="inlineStr">
        <is>
          <t>1405/08/15</t>
        </is>
      </c>
      <c r="I522" s="9" t="n">
        <v>10</v>
      </c>
      <c r="J522" s="10">
        <f>IF(G522="","",G522-I522)</f>
        <v/>
      </c>
      <c r="K522" s="9" t="inlineStr">
        <is>
          <t>خیلی بالا</t>
        </is>
      </c>
      <c r="L522" s="9" t="inlineStr">
        <is>
          <t>باز</t>
        </is>
      </c>
      <c r="M522" s="9">
        <f>IF(D522="","",IF(L522="انجام شده","انجام شده",IF(L522="لغو شده","لغو شده",IF(G522&lt;TODAY(),"عقب‌افتاده",IF(G522=TODAY(),"امروز",IF(G522&lt;=TODAY()+7,"تا ۷ روز",IF(G522&lt;=TODAY()+15,"تا ۱۵ روز","آینده")))))))</f>
        <v/>
      </c>
      <c r="N522" s="9" t="inlineStr"/>
      <c r="O522" s="9" t="n">
        <v>0</v>
      </c>
      <c r="P522" s="10" t="n"/>
      <c r="Q522" s="9" t="inlineStr"/>
      <c r="R522" s="9" t="inlineStr">
        <is>
          <t>پیش‌فرض 1405</t>
        </is>
      </c>
      <c r="S522" s="9" t="inlineStr">
        <is>
          <t>T202</t>
        </is>
      </c>
      <c r="T522" s="9" t="inlineStr">
        <is>
          <t>بله</t>
        </is>
      </c>
    </row>
    <row r="523">
      <c r="A523" s="9" t="inlineStr">
        <is>
          <t>1405-0522</t>
        </is>
      </c>
      <c r="B523" s="9" t="inlineStr">
        <is>
          <t>کیوان الکترونیک ایرانیان</t>
        </is>
      </c>
      <c r="C523" s="9" t="inlineStr">
        <is>
          <t>کنترل فصلی</t>
        </is>
      </c>
      <c r="D523" s="9" t="inlineStr">
        <is>
          <t>کنترل جامع حساب‌ها و گزارش فصلی تابستان</t>
        </is>
      </c>
      <c r="E523" s="9" t="inlineStr">
        <is>
          <t>فصلی</t>
        </is>
      </c>
      <c r="F523" s="9" t="inlineStr">
        <is>
          <t>تابستان</t>
        </is>
      </c>
      <c r="G523" s="10" t="n">
        <v>46307</v>
      </c>
      <c r="H523" s="9" t="inlineStr">
        <is>
          <t>1405/07/20</t>
        </is>
      </c>
      <c r="I523" s="9" t="n">
        <v>10</v>
      </c>
      <c r="J523" s="10">
        <f>IF(G523="","",G523-I523)</f>
        <v/>
      </c>
      <c r="K523" s="9" t="inlineStr">
        <is>
          <t>بالا</t>
        </is>
      </c>
      <c r="L523" s="9" t="inlineStr">
        <is>
          <t>باز</t>
        </is>
      </c>
      <c r="M523" s="9">
        <f>IF(D523="","",IF(L523="انجام شده","انجام شده",IF(L523="لغو شده","لغو شده",IF(G523&lt;TODAY(),"عقب‌افتاده",IF(G523=TODAY(),"امروز",IF(G523&lt;=TODAY()+7,"تا ۷ روز",IF(G523&lt;=TODAY()+15,"تا ۱۵ روز","آینده")))))))</f>
        <v/>
      </c>
      <c r="N523" s="9" t="inlineStr"/>
      <c r="O523" s="9" t="n">
        <v>0</v>
      </c>
      <c r="P523" s="10" t="n"/>
      <c r="Q523" s="9" t="inlineStr"/>
      <c r="R523" s="9" t="inlineStr">
        <is>
          <t>پیش‌فرض 1405</t>
        </is>
      </c>
      <c r="S523" s="9" t="inlineStr">
        <is>
          <t>T203</t>
        </is>
      </c>
      <c r="T523" s="9" t="inlineStr">
        <is>
          <t>بله</t>
        </is>
      </c>
    </row>
    <row r="524">
      <c r="A524" s="9" t="inlineStr">
        <is>
          <t>1405-0523</t>
        </is>
      </c>
      <c r="B524" s="9" t="inlineStr">
        <is>
          <t>کیوان الکترونیک ایرانیان</t>
        </is>
      </c>
      <c r="C524" s="9" t="inlineStr">
        <is>
          <t>مالیات</t>
        </is>
      </c>
      <c r="D524" s="9" t="inlineStr">
        <is>
          <t>تهیه و ارسال اظهارنامه ارزش افزوده فصل پاییز</t>
        </is>
      </c>
      <c r="E524" s="9" t="inlineStr">
        <is>
          <t>فصلی</t>
        </is>
      </c>
      <c r="F524" s="9" t="inlineStr">
        <is>
          <t>پاییز</t>
        </is>
      </c>
      <c r="G524" s="10" t="n">
        <v>46392</v>
      </c>
      <c r="H524" s="9" t="inlineStr">
        <is>
          <t>1405/10/15</t>
        </is>
      </c>
      <c r="I524" s="9" t="n">
        <v>10</v>
      </c>
      <c r="J524" s="10">
        <f>IF(G524="","",G524-I524)</f>
        <v/>
      </c>
      <c r="K524" s="9" t="inlineStr">
        <is>
          <t>خیلی بالا</t>
        </is>
      </c>
      <c r="L524" s="9" t="inlineStr">
        <is>
          <t>باز</t>
        </is>
      </c>
      <c r="M524" s="9">
        <f>IF(D524="","",IF(L524="انجام شده","انجام شده",IF(L524="لغو شده","لغو شده",IF(G524&lt;TODAY(),"عقب‌افتاده",IF(G524=TODAY(),"امروز",IF(G524&lt;=TODAY()+7,"تا ۷ روز",IF(G524&lt;=TODAY()+15,"تا ۱۵ روز","آینده")))))))</f>
        <v/>
      </c>
      <c r="N524" s="9" t="inlineStr"/>
      <c r="O524" s="9" t="n">
        <v>0</v>
      </c>
      <c r="P524" s="10" t="n"/>
      <c r="Q524" s="9" t="inlineStr"/>
      <c r="R524" s="9" t="inlineStr">
        <is>
          <t>پیش‌فرض 1405</t>
        </is>
      </c>
      <c r="S524" s="9" t="inlineStr">
        <is>
          <t>T201</t>
        </is>
      </c>
      <c r="T524" s="9" t="inlineStr">
        <is>
          <t>بله</t>
        </is>
      </c>
    </row>
    <row r="525">
      <c r="A525" s="9" t="inlineStr">
        <is>
          <t>1405-0524</t>
        </is>
      </c>
      <c r="B525" s="9" t="inlineStr">
        <is>
          <t>کیوان الکترونیک ایرانیان</t>
        </is>
      </c>
      <c r="C525" s="9" t="inlineStr">
        <is>
          <t>مالیات</t>
        </is>
      </c>
      <c r="D525" s="9" t="inlineStr">
        <is>
          <t>تهیه و ارسال معاملات فصلی فصل پاییز</t>
        </is>
      </c>
      <c r="E525" s="9" t="inlineStr">
        <is>
          <t>فصلی</t>
        </is>
      </c>
      <c r="F525" s="9" t="inlineStr">
        <is>
          <t>پاییز</t>
        </is>
      </c>
      <c r="G525" s="10" t="n">
        <v>46422</v>
      </c>
      <c r="H525" s="9" t="inlineStr">
        <is>
          <t>1405/11/15</t>
        </is>
      </c>
      <c r="I525" s="9" t="n">
        <v>10</v>
      </c>
      <c r="J525" s="10">
        <f>IF(G525="","",G525-I525)</f>
        <v/>
      </c>
      <c r="K525" s="9" t="inlineStr">
        <is>
          <t>خیلی بالا</t>
        </is>
      </c>
      <c r="L525" s="9" t="inlineStr">
        <is>
          <t>باز</t>
        </is>
      </c>
      <c r="M525" s="9">
        <f>IF(D525="","",IF(L525="انجام شده","انجام شده",IF(L525="لغو شده","لغو شده",IF(G525&lt;TODAY(),"عقب‌افتاده",IF(G525=TODAY(),"امروز",IF(G525&lt;=TODAY()+7,"تا ۷ روز",IF(G525&lt;=TODAY()+15,"تا ۱۵ روز","آینده")))))))</f>
        <v/>
      </c>
      <c r="N525" s="9" t="inlineStr"/>
      <c r="O525" s="9" t="n">
        <v>0</v>
      </c>
      <c r="P525" s="10" t="n"/>
      <c r="Q525" s="9" t="inlineStr"/>
      <c r="R525" s="9" t="inlineStr">
        <is>
          <t>پیش‌فرض 1405</t>
        </is>
      </c>
      <c r="S525" s="9" t="inlineStr">
        <is>
          <t>T202</t>
        </is>
      </c>
      <c r="T525" s="9" t="inlineStr">
        <is>
          <t>بله</t>
        </is>
      </c>
    </row>
    <row r="526">
      <c r="A526" s="9" t="inlineStr">
        <is>
          <t>1405-0525</t>
        </is>
      </c>
      <c r="B526" s="9" t="inlineStr">
        <is>
          <t>کیوان الکترونیک ایرانیان</t>
        </is>
      </c>
      <c r="C526" s="9" t="inlineStr">
        <is>
          <t>کنترل فصلی</t>
        </is>
      </c>
      <c r="D526" s="9" t="inlineStr">
        <is>
          <t>کنترل جامع حساب‌ها و گزارش فصلی پاییز</t>
        </is>
      </c>
      <c r="E526" s="9" t="inlineStr">
        <is>
          <t>فصلی</t>
        </is>
      </c>
      <c r="F526" s="9" t="inlineStr">
        <is>
          <t>پاییز</t>
        </is>
      </c>
      <c r="G526" s="10" t="n">
        <v>46397</v>
      </c>
      <c r="H526" s="9" t="inlineStr">
        <is>
          <t>1405/10/20</t>
        </is>
      </c>
      <c r="I526" s="9" t="n">
        <v>10</v>
      </c>
      <c r="J526" s="10">
        <f>IF(G526="","",G526-I526)</f>
        <v/>
      </c>
      <c r="K526" s="9" t="inlineStr">
        <is>
          <t>بالا</t>
        </is>
      </c>
      <c r="L526" s="9" t="inlineStr">
        <is>
          <t>باز</t>
        </is>
      </c>
      <c r="M526" s="9">
        <f>IF(D526="","",IF(L526="انجام شده","انجام شده",IF(L526="لغو شده","لغو شده",IF(G526&lt;TODAY(),"عقب‌افتاده",IF(G526=TODAY(),"امروز",IF(G526&lt;=TODAY()+7,"تا ۷ روز",IF(G526&lt;=TODAY()+15,"تا ۱۵ روز","آینده")))))))</f>
        <v/>
      </c>
      <c r="N526" s="9" t="inlineStr"/>
      <c r="O526" s="9" t="n">
        <v>0</v>
      </c>
      <c r="P526" s="10" t="n"/>
      <c r="Q526" s="9" t="inlineStr"/>
      <c r="R526" s="9" t="inlineStr">
        <is>
          <t>پیش‌فرض 1405</t>
        </is>
      </c>
      <c r="S526" s="9" t="inlineStr">
        <is>
          <t>T203</t>
        </is>
      </c>
      <c r="T526" s="9" t="inlineStr">
        <is>
          <t>بله</t>
        </is>
      </c>
    </row>
    <row r="527">
      <c r="A527" s="9" t="inlineStr">
        <is>
          <t>1405-0526</t>
        </is>
      </c>
      <c r="B527" s="9" t="inlineStr">
        <is>
          <t>کیوان الکترونیک ایرانیان</t>
        </is>
      </c>
      <c r="C527" s="9" t="inlineStr">
        <is>
          <t>مالیات</t>
        </is>
      </c>
      <c r="D527" s="9" t="inlineStr">
        <is>
          <t>تهیه و ارسال اظهارنامه ارزش افزوده فصل زمستان</t>
        </is>
      </c>
      <c r="E527" s="9" t="inlineStr">
        <is>
          <t>فصلی</t>
        </is>
      </c>
      <c r="F527" s="9" t="inlineStr">
        <is>
          <t>زمستان</t>
        </is>
      </c>
      <c r="G527" s="10" t="n">
        <v>46481</v>
      </c>
      <c r="H527" s="9" t="inlineStr">
        <is>
          <t>1406/01/15</t>
        </is>
      </c>
      <c r="I527" s="9" t="n">
        <v>10</v>
      </c>
      <c r="J527" s="10">
        <f>IF(G527="","",G527-I527)</f>
        <v/>
      </c>
      <c r="K527" s="9" t="inlineStr">
        <is>
          <t>خیلی بالا</t>
        </is>
      </c>
      <c r="L527" s="9" t="inlineStr">
        <is>
          <t>باز</t>
        </is>
      </c>
      <c r="M527" s="9">
        <f>IF(D527="","",IF(L527="انجام شده","انجام شده",IF(L527="لغو شده","لغو شده",IF(G527&lt;TODAY(),"عقب‌افتاده",IF(G527=TODAY(),"امروز",IF(G527&lt;=TODAY()+7,"تا ۷ روز",IF(G527&lt;=TODAY()+15,"تا ۱۵ روز","آینده")))))))</f>
        <v/>
      </c>
      <c r="N527" s="9" t="inlineStr"/>
      <c r="O527" s="9" t="n">
        <v>0</v>
      </c>
      <c r="P527" s="10" t="n"/>
      <c r="Q527" s="9" t="inlineStr"/>
      <c r="R527" s="9" t="inlineStr">
        <is>
          <t>پیش‌فرض 1405</t>
        </is>
      </c>
      <c r="S527" s="9" t="inlineStr">
        <is>
          <t>T201</t>
        </is>
      </c>
      <c r="T527" s="9" t="inlineStr">
        <is>
          <t>بله</t>
        </is>
      </c>
    </row>
    <row r="528">
      <c r="A528" s="9" t="inlineStr">
        <is>
          <t>1405-0527</t>
        </is>
      </c>
      <c r="B528" s="9" t="inlineStr">
        <is>
          <t>کیوان الکترونیک ایرانیان</t>
        </is>
      </c>
      <c r="C528" s="9" t="inlineStr">
        <is>
          <t>مالیات</t>
        </is>
      </c>
      <c r="D528" s="9" t="inlineStr">
        <is>
          <t>تهیه و ارسال معاملات فصلی فصل زمستان</t>
        </is>
      </c>
      <c r="E528" s="9" t="inlineStr">
        <is>
          <t>فصلی</t>
        </is>
      </c>
      <c r="F528" s="9" t="inlineStr">
        <is>
          <t>زمستان</t>
        </is>
      </c>
      <c r="G528" s="10" t="n">
        <v>46511</v>
      </c>
      <c r="H528" s="9" t="inlineStr">
        <is>
          <t>1406/02/14</t>
        </is>
      </c>
      <c r="I528" s="9" t="n">
        <v>10</v>
      </c>
      <c r="J528" s="10">
        <f>IF(G528="","",G528-I528)</f>
        <v/>
      </c>
      <c r="K528" s="9" t="inlineStr">
        <is>
          <t>خیلی بالا</t>
        </is>
      </c>
      <c r="L528" s="9" t="inlineStr">
        <is>
          <t>باز</t>
        </is>
      </c>
      <c r="M528" s="9">
        <f>IF(D528="","",IF(L528="انجام شده","انجام شده",IF(L528="لغو شده","لغو شده",IF(G528&lt;TODAY(),"عقب‌افتاده",IF(G528=TODAY(),"امروز",IF(G528&lt;=TODAY()+7,"تا ۷ روز",IF(G528&lt;=TODAY()+15,"تا ۱۵ روز","آینده")))))))</f>
        <v/>
      </c>
      <c r="N528" s="9" t="inlineStr"/>
      <c r="O528" s="9" t="n">
        <v>0</v>
      </c>
      <c r="P528" s="10" t="n"/>
      <c r="Q528" s="9" t="inlineStr"/>
      <c r="R528" s="9" t="inlineStr">
        <is>
          <t>پیش‌فرض 1405</t>
        </is>
      </c>
      <c r="S528" s="9" t="inlineStr">
        <is>
          <t>T202</t>
        </is>
      </c>
      <c r="T528" s="9" t="inlineStr">
        <is>
          <t>بله</t>
        </is>
      </c>
    </row>
    <row r="529">
      <c r="A529" s="9" t="inlineStr">
        <is>
          <t>1405-0528</t>
        </is>
      </c>
      <c r="B529" s="9" t="inlineStr">
        <is>
          <t>کیوان الکترونیک ایرانیان</t>
        </is>
      </c>
      <c r="C529" s="9" t="inlineStr">
        <is>
          <t>کنترل فصلی</t>
        </is>
      </c>
      <c r="D529" s="9" t="inlineStr">
        <is>
          <t>کنترل جامع حساب‌ها و گزارش فصلی زمستان</t>
        </is>
      </c>
      <c r="E529" s="9" t="inlineStr">
        <is>
          <t>فصلی</t>
        </is>
      </c>
      <c r="F529" s="9" t="inlineStr">
        <is>
          <t>زمستان</t>
        </is>
      </c>
      <c r="G529" s="10" t="n">
        <v>46486</v>
      </c>
      <c r="H529" s="9" t="inlineStr">
        <is>
          <t>1406/01/20</t>
        </is>
      </c>
      <c r="I529" s="9" t="n">
        <v>10</v>
      </c>
      <c r="J529" s="10">
        <f>IF(G529="","",G529-I529)</f>
        <v/>
      </c>
      <c r="K529" s="9" t="inlineStr">
        <is>
          <t>بالا</t>
        </is>
      </c>
      <c r="L529" s="9" t="inlineStr">
        <is>
          <t>باز</t>
        </is>
      </c>
      <c r="M529" s="9">
        <f>IF(D529="","",IF(L529="انجام شده","انجام شده",IF(L529="لغو شده","لغو شده",IF(G529&lt;TODAY(),"عقب‌افتاده",IF(G529=TODAY(),"امروز",IF(G529&lt;=TODAY()+7,"تا ۷ روز",IF(G529&lt;=TODAY()+15,"تا ۱۵ روز","آینده")))))))</f>
        <v/>
      </c>
      <c r="N529" s="9" t="inlineStr"/>
      <c r="O529" s="9" t="n">
        <v>0</v>
      </c>
      <c r="P529" s="10" t="n"/>
      <c r="Q529" s="9" t="inlineStr"/>
      <c r="R529" s="9" t="inlineStr">
        <is>
          <t>پیش‌فرض 1405</t>
        </is>
      </c>
      <c r="S529" s="9" t="inlineStr">
        <is>
          <t>T203</t>
        </is>
      </c>
      <c r="T529" s="9" t="inlineStr">
        <is>
          <t>بله</t>
        </is>
      </c>
    </row>
    <row r="530">
      <c r="A530" s="9" t="inlineStr">
        <is>
          <t>1405-0529</t>
        </is>
      </c>
      <c r="B530" s="9" t="inlineStr">
        <is>
          <t>کیهان توسعه البرز</t>
        </is>
      </c>
      <c r="C530" s="9" t="inlineStr">
        <is>
          <t>مالیات</t>
        </is>
      </c>
      <c r="D530" s="9" t="inlineStr">
        <is>
          <t>تهیه و ارسال اظهارنامه ارزش افزوده فصل بهار</t>
        </is>
      </c>
      <c r="E530" s="9" t="inlineStr">
        <is>
          <t>فصلی</t>
        </is>
      </c>
      <c r="F530" s="9" t="inlineStr">
        <is>
          <t>بهار</t>
        </is>
      </c>
      <c r="G530" s="10" t="n">
        <v>46209</v>
      </c>
      <c r="H530" s="9" t="inlineStr">
        <is>
          <t>1405/04/15</t>
        </is>
      </c>
      <c r="I530" s="9" t="n">
        <v>10</v>
      </c>
      <c r="J530" s="10">
        <f>IF(G530="","",G530-I530)</f>
        <v/>
      </c>
      <c r="K530" s="9" t="inlineStr">
        <is>
          <t>خیلی بالا</t>
        </is>
      </c>
      <c r="L530" s="9" t="inlineStr">
        <is>
          <t>باز</t>
        </is>
      </c>
      <c r="M530" s="9">
        <f>IF(D530="","",IF(L530="انجام شده","انجام شده",IF(L530="لغو شده","لغو شده",IF(G530&lt;TODAY(),"عقب‌افتاده",IF(G530=TODAY(),"امروز",IF(G530&lt;=TODAY()+7,"تا ۷ روز",IF(G530&lt;=TODAY()+15,"تا ۱۵ روز","آینده")))))))</f>
        <v/>
      </c>
      <c r="N530" s="9" t="inlineStr"/>
      <c r="O530" s="9" t="n">
        <v>0</v>
      </c>
      <c r="P530" s="10" t="n"/>
      <c r="Q530" s="9" t="inlineStr"/>
      <c r="R530" s="9" t="inlineStr">
        <is>
          <t>پیش‌فرض 1405</t>
        </is>
      </c>
      <c r="S530" s="9" t="inlineStr">
        <is>
          <t>T201</t>
        </is>
      </c>
      <c r="T530" s="9" t="inlineStr">
        <is>
          <t>بله</t>
        </is>
      </c>
    </row>
    <row r="531">
      <c r="A531" s="9" t="inlineStr">
        <is>
          <t>1405-0530</t>
        </is>
      </c>
      <c r="B531" s="9" t="inlineStr">
        <is>
          <t>کیهان توسعه البرز</t>
        </is>
      </c>
      <c r="C531" s="9" t="inlineStr">
        <is>
          <t>مالیات</t>
        </is>
      </c>
      <c r="D531" s="9" t="inlineStr">
        <is>
          <t>تهیه و ارسال معاملات فصلی فصل بهار</t>
        </is>
      </c>
      <c r="E531" s="9" t="inlineStr">
        <is>
          <t>فصلی</t>
        </is>
      </c>
      <c r="F531" s="9" t="inlineStr">
        <is>
          <t>بهار</t>
        </is>
      </c>
      <c r="G531" s="10" t="n">
        <v>46239</v>
      </c>
      <c r="H531" s="9" t="inlineStr">
        <is>
          <t>1405/05/14</t>
        </is>
      </c>
      <c r="I531" s="9" t="n">
        <v>10</v>
      </c>
      <c r="J531" s="10">
        <f>IF(G531="","",G531-I531)</f>
        <v/>
      </c>
      <c r="K531" s="9" t="inlineStr">
        <is>
          <t>خیلی بالا</t>
        </is>
      </c>
      <c r="L531" s="9" t="inlineStr">
        <is>
          <t>باز</t>
        </is>
      </c>
      <c r="M531" s="9">
        <f>IF(D531="","",IF(L531="انجام شده","انجام شده",IF(L531="لغو شده","لغو شده",IF(G531&lt;TODAY(),"عقب‌افتاده",IF(G531=TODAY(),"امروز",IF(G531&lt;=TODAY()+7,"تا ۷ روز",IF(G531&lt;=TODAY()+15,"تا ۱۵ روز","آینده")))))))</f>
        <v/>
      </c>
      <c r="N531" s="9" t="inlineStr"/>
      <c r="O531" s="9" t="n">
        <v>0</v>
      </c>
      <c r="P531" s="10" t="n"/>
      <c r="Q531" s="9" t="inlineStr"/>
      <c r="R531" s="9" t="inlineStr">
        <is>
          <t>پیش‌فرض 1405</t>
        </is>
      </c>
      <c r="S531" s="9" t="inlineStr">
        <is>
          <t>T202</t>
        </is>
      </c>
      <c r="T531" s="9" t="inlineStr">
        <is>
          <t>بله</t>
        </is>
      </c>
    </row>
    <row r="532">
      <c r="A532" s="9" t="inlineStr">
        <is>
          <t>1405-0531</t>
        </is>
      </c>
      <c r="B532" s="9" t="inlineStr">
        <is>
          <t>کیهان توسعه البرز</t>
        </is>
      </c>
      <c r="C532" s="9" t="inlineStr">
        <is>
          <t>کنترل فصلی</t>
        </is>
      </c>
      <c r="D532" s="9" t="inlineStr">
        <is>
          <t>کنترل جامع حساب‌ها و گزارش فصلی بهار</t>
        </is>
      </c>
      <c r="E532" s="9" t="inlineStr">
        <is>
          <t>فصلی</t>
        </is>
      </c>
      <c r="F532" s="9" t="inlineStr">
        <is>
          <t>بهار</t>
        </is>
      </c>
      <c r="G532" s="10" t="n">
        <v>46214</v>
      </c>
      <c r="H532" s="9" t="inlineStr">
        <is>
          <t>1405/04/20</t>
        </is>
      </c>
      <c r="I532" s="9" t="n">
        <v>10</v>
      </c>
      <c r="J532" s="10">
        <f>IF(G532="","",G532-I532)</f>
        <v/>
      </c>
      <c r="K532" s="9" t="inlineStr">
        <is>
          <t>بالا</t>
        </is>
      </c>
      <c r="L532" s="9" t="inlineStr">
        <is>
          <t>باز</t>
        </is>
      </c>
      <c r="M532" s="9">
        <f>IF(D532="","",IF(L532="انجام شده","انجام شده",IF(L532="لغو شده","لغو شده",IF(G532&lt;TODAY(),"عقب‌افتاده",IF(G532=TODAY(),"امروز",IF(G532&lt;=TODAY()+7,"تا ۷ روز",IF(G532&lt;=TODAY()+15,"تا ۱۵ روز","آینده")))))))</f>
        <v/>
      </c>
      <c r="N532" s="9" t="inlineStr"/>
      <c r="O532" s="9" t="n">
        <v>0</v>
      </c>
      <c r="P532" s="10" t="n"/>
      <c r="Q532" s="9" t="inlineStr"/>
      <c r="R532" s="9" t="inlineStr">
        <is>
          <t>پیش‌فرض 1405</t>
        </is>
      </c>
      <c r="S532" s="9" t="inlineStr">
        <is>
          <t>T203</t>
        </is>
      </c>
      <c r="T532" s="9" t="inlineStr">
        <is>
          <t>بله</t>
        </is>
      </c>
    </row>
    <row r="533">
      <c r="A533" s="9" t="inlineStr">
        <is>
          <t>1405-0532</t>
        </is>
      </c>
      <c r="B533" s="9" t="inlineStr">
        <is>
          <t>کیهان توسعه البرز</t>
        </is>
      </c>
      <c r="C533" s="9" t="inlineStr">
        <is>
          <t>مالیات</t>
        </is>
      </c>
      <c r="D533" s="9" t="inlineStr">
        <is>
          <t>تهیه و ارسال اظهارنامه ارزش افزوده فصل تابستان</t>
        </is>
      </c>
      <c r="E533" s="9" t="inlineStr">
        <is>
          <t>فصلی</t>
        </is>
      </c>
      <c r="F533" s="9" t="inlineStr">
        <is>
          <t>تابستان</t>
        </is>
      </c>
      <c r="G533" s="10" t="n">
        <v>46302</v>
      </c>
      <c r="H533" s="9" t="inlineStr">
        <is>
          <t>1405/07/15</t>
        </is>
      </c>
      <c r="I533" s="9" t="n">
        <v>10</v>
      </c>
      <c r="J533" s="10">
        <f>IF(G533="","",G533-I533)</f>
        <v/>
      </c>
      <c r="K533" s="9" t="inlineStr">
        <is>
          <t>خیلی بالا</t>
        </is>
      </c>
      <c r="L533" s="9" t="inlineStr">
        <is>
          <t>باز</t>
        </is>
      </c>
      <c r="M533" s="9">
        <f>IF(D533="","",IF(L533="انجام شده","انجام شده",IF(L533="لغو شده","لغو شده",IF(G533&lt;TODAY(),"عقب‌افتاده",IF(G533=TODAY(),"امروز",IF(G533&lt;=TODAY()+7,"تا ۷ روز",IF(G533&lt;=TODAY()+15,"تا ۱۵ روز","آینده")))))))</f>
        <v/>
      </c>
      <c r="N533" s="9" t="inlineStr"/>
      <c r="O533" s="9" t="n">
        <v>0</v>
      </c>
      <c r="P533" s="10" t="n"/>
      <c r="Q533" s="9" t="inlineStr"/>
      <c r="R533" s="9" t="inlineStr">
        <is>
          <t>پیش‌فرض 1405</t>
        </is>
      </c>
      <c r="S533" s="9" t="inlineStr">
        <is>
          <t>T201</t>
        </is>
      </c>
      <c r="T533" s="9" t="inlineStr">
        <is>
          <t>بله</t>
        </is>
      </c>
    </row>
    <row r="534">
      <c r="A534" s="9" t="inlineStr">
        <is>
          <t>1405-0533</t>
        </is>
      </c>
      <c r="B534" s="9" t="inlineStr">
        <is>
          <t>کیهان توسعه البرز</t>
        </is>
      </c>
      <c r="C534" s="9" t="inlineStr">
        <is>
          <t>مالیات</t>
        </is>
      </c>
      <c r="D534" s="9" t="inlineStr">
        <is>
          <t>تهیه و ارسال معاملات فصلی فصل تابستان</t>
        </is>
      </c>
      <c r="E534" s="9" t="inlineStr">
        <is>
          <t>فصلی</t>
        </is>
      </c>
      <c r="F534" s="9" t="inlineStr">
        <is>
          <t>تابستان</t>
        </is>
      </c>
      <c r="G534" s="10" t="n">
        <v>46332</v>
      </c>
      <c r="H534" s="9" t="inlineStr">
        <is>
          <t>1405/08/15</t>
        </is>
      </c>
      <c r="I534" s="9" t="n">
        <v>10</v>
      </c>
      <c r="J534" s="10">
        <f>IF(G534="","",G534-I534)</f>
        <v/>
      </c>
      <c r="K534" s="9" t="inlineStr">
        <is>
          <t>خیلی بالا</t>
        </is>
      </c>
      <c r="L534" s="9" t="inlineStr">
        <is>
          <t>باز</t>
        </is>
      </c>
      <c r="M534" s="9">
        <f>IF(D534="","",IF(L534="انجام شده","انجام شده",IF(L534="لغو شده","لغو شده",IF(G534&lt;TODAY(),"عقب‌افتاده",IF(G534=TODAY(),"امروز",IF(G534&lt;=TODAY()+7,"تا ۷ روز",IF(G534&lt;=TODAY()+15,"تا ۱۵ روز","آینده")))))))</f>
        <v/>
      </c>
      <c r="N534" s="9" t="inlineStr"/>
      <c r="O534" s="9" t="n">
        <v>0</v>
      </c>
      <c r="P534" s="10" t="n"/>
      <c r="Q534" s="9" t="inlineStr"/>
      <c r="R534" s="9" t="inlineStr">
        <is>
          <t>پیش‌فرض 1405</t>
        </is>
      </c>
      <c r="S534" s="9" t="inlineStr">
        <is>
          <t>T202</t>
        </is>
      </c>
      <c r="T534" s="9" t="inlineStr">
        <is>
          <t>بله</t>
        </is>
      </c>
    </row>
    <row r="535">
      <c r="A535" s="9" t="inlineStr">
        <is>
          <t>1405-0534</t>
        </is>
      </c>
      <c r="B535" s="9" t="inlineStr">
        <is>
          <t>کیهان توسعه البرز</t>
        </is>
      </c>
      <c r="C535" s="9" t="inlineStr">
        <is>
          <t>کنترل فصلی</t>
        </is>
      </c>
      <c r="D535" s="9" t="inlineStr">
        <is>
          <t>کنترل جامع حساب‌ها و گزارش فصلی تابستان</t>
        </is>
      </c>
      <c r="E535" s="9" t="inlineStr">
        <is>
          <t>فصلی</t>
        </is>
      </c>
      <c r="F535" s="9" t="inlineStr">
        <is>
          <t>تابستان</t>
        </is>
      </c>
      <c r="G535" s="10" t="n">
        <v>46307</v>
      </c>
      <c r="H535" s="9" t="inlineStr">
        <is>
          <t>1405/07/20</t>
        </is>
      </c>
      <c r="I535" s="9" t="n">
        <v>10</v>
      </c>
      <c r="J535" s="10">
        <f>IF(G535="","",G535-I535)</f>
        <v/>
      </c>
      <c r="K535" s="9" t="inlineStr">
        <is>
          <t>بالا</t>
        </is>
      </c>
      <c r="L535" s="9" t="inlineStr">
        <is>
          <t>باز</t>
        </is>
      </c>
      <c r="M535" s="9">
        <f>IF(D535="","",IF(L535="انجام شده","انجام شده",IF(L535="لغو شده","لغو شده",IF(G535&lt;TODAY(),"عقب‌افتاده",IF(G535=TODAY(),"امروز",IF(G535&lt;=TODAY()+7,"تا ۷ روز",IF(G535&lt;=TODAY()+15,"تا ۱۵ روز","آینده")))))))</f>
        <v/>
      </c>
      <c r="N535" s="9" t="inlineStr"/>
      <c r="O535" s="9" t="n">
        <v>0</v>
      </c>
      <c r="P535" s="10" t="n"/>
      <c r="Q535" s="9" t="inlineStr"/>
      <c r="R535" s="9" t="inlineStr">
        <is>
          <t>پیش‌فرض 1405</t>
        </is>
      </c>
      <c r="S535" s="9" t="inlineStr">
        <is>
          <t>T203</t>
        </is>
      </c>
      <c r="T535" s="9" t="inlineStr">
        <is>
          <t>بله</t>
        </is>
      </c>
    </row>
    <row r="536">
      <c r="A536" s="9" t="inlineStr">
        <is>
          <t>1405-0535</t>
        </is>
      </c>
      <c r="B536" s="9" t="inlineStr">
        <is>
          <t>کیهان توسعه البرز</t>
        </is>
      </c>
      <c r="C536" s="9" t="inlineStr">
        <is>
          <t>مالیات</t>
        </is>
      </c>
      <c r="D536" s="9" t="inlineStr">
        <is>
          <t>تهیه و ارسال اظهارنامه ارزش افزوده فصل پاییز</t>
        </is>
      </c>
      <c r="E536" s="9" t="inlineStr">
        <is>
          <t>فصلی</t>
        </is>
      </c>
      <c r="F536" s="9" t="inlineStr">
        <is>
          <t>پاییز</t>
        </is>
      </c>
      <c r="G536" s="10" t="n">
        <v>46392</v>
      </c>
      <c r="H536" s="9" t="inlineStr">
        <is>
          <t>1405/10/15</t>
        </is>
      </c>
      <c r="I536" s="9" t="n">
        <v>10</v>
      </c>
      <c r="J536" s="10">
        <f>IF(G536="","",G536-I536)</f>
        <v/>
      </c>
      <c r="K536" s="9" t="inlineStr">
        <is>
          <t>خیلی بالا</t>
        </is>
      </c>
      <c r="L536" s="9" t="inlineStr">
        <is>
          <t>باز</t>
        </is>
      </c>
      <c r="M536" s="9">
        <f>IF(D536="","",IF(L536="انجام شده","انجام شده",IF(L536="لغو شده","لغو شده",IF(G536&lt;TODAY(),"عقب‌افتاده",IF(G536=TODAY(),"امروز",IF(G536&lt;=TODAY()+7,"تا ۷ روز",IF(G536&lt;=TODAY()+15,"تا ۱۵ روز","آینده")))))))</f>
        <v/>
      </c>
      <c r="N536" s="9" t="inlineStr"/>
      <c r="O536" s="9" t="n">
        <v>0</v>
      </c>
      <c r="P536" s="10" t="n"/>
      <c r="Q536" s="9" t="inlineStr"/>
      <c r="R536" s="9" t="inlineStr">
        <is>
          <t>پیش‌فرض 1405</t>
        </is>
      </c>
      <c r="S536" s="9" t="inlineStr">
        <is>
          <t>T201</t>
        </is>
      </c>
      <c r="T536" s="9" t="inlineStr">
        <is>
          <t>بله</t>
        </is>
      </c>
    </row>
    <row r="537">
      <c r="A537" s="9" t="inlineStr">
        <is>
          <t>1405-0536</t>
        </is>
      </c>
      <c r="B537" s="9" t="inlineStr">
        <is>
          <t>کیهان توسعه البرز</t>
        </is>
      </c>
      <c r="C537" s="9" t="inlineStr">
        <is>
          <t>مالیات</t>
        </is>
      </c>
      <c r="D537" s="9" t="inlineStr">
        <is>
          <t>تهیه و ارسال معاملات فصلی فصل پاییز</t>
        </is>
      </c>
      <c r="E537" s="9" t="inlineStr">
        <is>
          <t>فصلی</t>
        </is>
      </c>
      <c r="F537" s="9" t="inlineStr">
        <is>
          <t>پاییز</t>
        </is>
      </c>
      <c r="G537" s="10" t="n">
        <v>46422</v>
      </c>
      <c r="H537" s="9" t="inlineStr">
        <is>
          <t>1405/11/15</t>
        </is>
      </c>
      <c r="I537" s="9" t="n">
        <v>10</v>
      </c>
      <c r="J537" s="10">
        <f>IF(G537="","",G537-I537)</f>
        <v/>
      </c>
      <c r="K537" s="9" t="inlineStr">
        <is>
          <t>خیلی بالا</t>
        </is>
      </c>
      <c r="L537" s="9" t="inlineStr">
        <is>
          <t>باز</t>
        </is>
      </c>
      <c r="M537" s="9">
        <f>IF(D537="","",IF(L537="انجام شده","انجام شده",IF(L537="لغو شده","لغو شده",IF(G537&lt;TODAY(),"عقب‌افتاده",IF(G537=TODAY(),"امروز",IF(G537&lt;=TODAY()+7,"تا ۷ روز",IF(G537&lt;=TODAY()+15,"تا ۱۵ روز","آینده")))))))</f>
        <v/>
      </c>
      <c r="N537" s="9" t="inlineStr"/>
      <c r="O537" s="9" t="n">
        <v>0</v>
      </c>
      <c r="P537" s="10" t="n"/>
      <c r="Q537" s="9" t="inlineStr"/>
      <c r="R537" s="9" t="inlineStr">
        <is>
          <t>پیش‌فرض 1405</t>
        </is>
      </c>
      <c r="S537" s="9" t="inlineStr">
        <is>
          <t>T202</t>
        </is>
      </c>
      <c r="T537" s="9" t="inlineStr">
        <is>
          <t>بله</t>
        </is>
      </c>
    </row>
    <row r="538">
      <c r="A538" s="9" t="inlineStr">
        <is>
          <t>1405-0537</t>
        </is>
      </c>
      <c r="B538" s="9" t="inlineStr">
        <is>
          <t>کیهان توسعه البرز</t>
        </is>
      </c>
      <c r="C538" s="9" t="inlineStr">
        <is>
          <t>کنترل فصلی</t>
        </is>
      </c>
      <c r="D538" s="9" t="inlineStr">
        <is>
          <t>کنترل جامع حساب‌ها و گزارش فصلی پاییز</t>
        </is>
      </c>
      <c r="E538" s="9" t="inlineStr">
        <is>
          <t>فصلی</t>
        </is>
      </c>
      <c r="F538" s="9" t="inlineStr">
        <is>
          <t>پاییز</t>
        </is>
      </c>
      <c r="G538" s="10" t="n">
        <v>46397</v>
      </c>
      <c r="H538" s="9" t="inlineStr">
        <is>
          <t>1405/10/20</t>
        </is>
      </c>
      <c r="I538" s="9" t="n">
        <v>10</v>
      </c>
      <c r="J538" s="10">
        <f>IF(G538="","",G538-I538)</f>
        <v/>
      </c>
      <c r="K538" s="9" t="inlineStr">
        <is>
          <t>بالا</t>
        </is>
      </c>
      <c r="L538" s="9" t="inlineStr">
        <is>
          <t>باز</t>
        </is>
      </c>
      <c r="M538" s="9">
        <f>IF(D538="","",IF(L538="انجام شده","انجام شده",IF(L538="لغو شده","لغو شده",IF(G538&lt;TODAY(),"عقب‌افتاده",IF(G538=TODAY(),"امروز",IF(G538&lt;=TODAY()+7,"تا ۷ روز",IF(G538&lt;=TODAY()+15,"تا ۱۵ روز","آینده")))))))</f>
        <v/>
      </c>
      <c r="N538" s="9" t="inlineStr"/>
      <c r="O538" s="9" t="n">
        <v>0</v>
      </c>
      <c r="P538" s="10" t="n"/>
      <c r="Q538" s="9" t="inlineStr"/>
      <c r="R538" s="9" t="inlineStr">
        <is>
          <t>پیش‌فرض 1405</t>
        </is>
      </c>
      <c r="S538" s="9" t="inlineStr">
        <is>
          <t>T203</t>
        </is>
      </c>
      <c r="T538" s="9" t="inlineStr">
        <is>
          <t>بله</t>
        </is>
      </c>
    </row>
    <row r="539">
      <c r="A539" s="9" t="inlineStr">
        <is>
          <t>1405-0538</t>
        </is>
      </c>
      <c r="B539" s="9" t="inlineStr">
        <is>
          <t>کیهان توسعه البرز</t>
        </is>
      </c>
      <c r="C539" s="9" t="inlineStr">
        <is>
          <t>مالیات</t>
        </is>
      </c>
      <c r="D539" s="9" t="inlineStr">
        <is>
          <t>تهیه و ارسال اظهارنامه ارزش افزوده فصل زمستان</t>
        </is>
      </c>
      <c r="E539" s="9" t="inlineStr">
        <is>
          <t>فصلی</t>
        </is>
      </c>
      <c r="F539" s="9" t="inlineStr">
        <is>
          <t>زمستان</t>
        </is>
      </c>
      <c r="G539" s="10" t="n">
        <v>46481</v>
      </c>
      <c r="H539" s="9" t="inlineStr">
        <is>
          <t>1406/01/15</t>
        </is>
      </c>
      <c r="I539" s="9" t="n">
        <v>10</v>
      </c>
      <c r="J539" s="10">
        <f>IF(G539="","",G539-I539)</f>
        <v/>
      </c>
      <c r="K539" s="9" t="inlineStr">
        <is>
          <t>خیلی بالا</t>
        </is>
      </c>
      <c r="L539" s="9" t="inlineStr">
        <is>
          <t>باز</t>
        </is>
      </c>
      <c r="M539" s="9">
        <f>IF(D539="","",IF(L539="انجام شده","انجام شده",IF(L539="لغو شده","لغو شده",IF(G539&lt;TODAY(),"عقب‌افتاده",IF(G539=TODAY(),"امروز",IF(G539&lt;=TODAY()+7,"تا ۷ روز",IF(G539&lt;=TODAY()+15,"تا ۱۵ روز","آینده")))))))</f>
        <v/>
      </c>
      <c r="N539" s="9" t="inlineStr"/>
      <c r="O539" s="9" t="n">
        <v>0</v>
      </c>
      <c r="P539" s="10" t="n"/>
      <c r="Q539" s="9" t="inlineStr"/>
      <c r="R539" s="9" t="inlineStr">
        <is>
          <t>پیش‌فرض 1405</t>
        </is>
      </c>
      <c r="S539" s="9" t="inlineStr">
        <is>
          <t>T201</t>
        </is>
      </c>
      <c r="T539" s="9" t="inlineStr">
        <is>
          <t>بله</t>
        </is>
      </c>
    </row>
    <row r="540">
      <c r="A540" s="9" t="inlineStr">
        <is>
          <t>1405-0539</t>
        </is>
      </c>
      <c r="B540" s="9" t="inlineStr">
        <is>
          <t>کیهان توسعه البرز</t>
        </is>
      </c>
      <c r="C540" s="9" t="inlineStr">
        <is>
          <t>مالیات</t>
        </is>
      </c>
      <c r="D540" s="9" t="inlineStr">
        <is>
          <t>تهیه و ارسال معاملات فصلی فصل زمستان</t>
        </is>
      </c>
      <c r="E540" s="9" t="inlineStr">
        <is>
          <t>فصلی</t>
        </is>
      </c>
      <c r="F540" s="9" t="inlineStr">
        <is>
          <t>زمستان</t>
        </is>
      </c>
      <c r="G540" s="10" t="n">
        <v>46511</v>
      </c>
      <c r="H540" s="9" t="inlineStr">
        <is>
          <t>1406/02/14</t>
        </is>
      </c>
      <c r="I540" s="9" t="n">
        <v>10</v>
      </c>
      <c r="J540" s="10">
        <f>IF(G540="","",G540-I540)</f>
        <v/>
      </c>
      <c r="K540" s="9" t="inlineStr">
        <is>
          <t>خیلی بالا</t>
        </is>
      </c>
      <c r="L540" s="9" t="inlineStr">
        <is>
          <t>باز</t>
        </is>
      </c>
      <c r="M540" s="9">
        <f>IF(D540="","",IF(L540="انجام شده","انجام شده",IF(L540="لغو شده","لغو شده",IF(G540&lt;TODAY(),"عقب‌افتاده",IF(G540=TODAY(),"امروز",IF(G540&lt;=TODAY()+7,"تا ۷ روز",IF(G540&lt;=TODAY()+15,"تا ۱۵ روز","آینده")))))))</f>
        <v/>
      </c>
      <c r="N540" s="9" t="inlineStr"/>
      <c r="O540" s="9" t="n">
        <v>0</v>
      </c>
      <c r="P540" s="10" t="n"/>
      <c r="Q540" s="9" t="inlineStr"/>
      <c r="R540" s="9" t="inlineStr">
        <is>
          <t>پیش‌فرض 1405</t>
        </is>
      </c>
      <c r="S540" s="9" t="inlineStr">
        <is>
          <t>T202</t>
        </is>
      </c>
      <c r="T540" s="9" t="inlineStr">
        <is>
          <t>بله</t>
        </is>
      </c>
    </row>
    <row r="541">
      <c r="A541" s="9" t="inlineStr">
        <is>
          <t>1405-0540</t>
        </is>
      </c>
      <c r="B541" s="9" t="inlineStr">
        <is>
          <t>کیهان توسعه البرز</t>
        </is>
      </c>
      <c r="C541" s="9" t="inlineStr">
        <is>
          <t>کنترل فصلی</t>
        </is>
      </c>
      <c r="D541" s="9" t="inlineStr">
        <is>
          <t>کنترل جامع حساب‌ها و گزارش فصلی زمستان</t>
        </is>
      </c>
      <c r="E541" s="9" t="inlineStr">
        <is>
          <t>فصلی</t>
        </is>
      </c>
      <c r="F541" s="9" t="inlineStr">
        <is>
          <t>زمستان</t>
        </is>
      </c>
      <c r="G541" s="10" t="n">
        <v>46486</v>
      </c>
      <c r="H541" s="9" t="inlineStr">
        <is>
          <t>1406/01/20</t>
        </is>
      </c>
      <c r="I541" s="9" t="n">
        <v>10</v>
      </c>
      <c r="J541" s="10">
        <f>IF(G541="","",G541-I541)</f>
        <v/>
      </c>
      <c r="K541" s="9" t="inlineStr">
        <is>
          <t>بالا</t>
        </is>
      </c>
      <c r="L541" s="9" t="inlineStr">
        <is>
          <t>باز</t>
        </is>
      </c>
      <c r="M541" s="9">
        <f>IF(D541="","",IF(L541="انجام شده","انجام شده",IF(L541="لغو شده","لغو شده",IF(G541&lt;TODAY(),"عقب‌افتاده",IF(G541=TODAY(),"امروز",IF(G541&lt;=TODAY()+7,"تا ۷ روز",IF(G541&lt;=TODAY()+15,"تا ۱۵ روز","آینده")))))))</f>
        <v/>
      </c>
      <c r="N541" s="9" t="inlineStr"/>
      <c r="O541" s="9" t="n">
        <v>0</v>
      </c>
      <c r="P541" s="10" t="n"/>
      <c r="Q541" s="9" t="inlineStr"/>
      <c r="R541" s="9" t="inlineStr">
        <is>
          <t>پیش‌فرض 1405</t>
        </is>
      </c>
      <c r="S541" s="9" t="inlineStr">
        <is>
          <t>T203</t>
        </is>
      </c>
      <c r="T541" s="9" t="inlineStr">
        <is>
          <t>بله</t>
        </is>
      </c>
    </row>
    <row r="542">
      <c r="A542" s="9" t="inlineStr">
        <is>
          <t>1405-0541</t>
        </is>
      </c>
      <c r="B542" s="9" t="inlineStr">
        <is>
          <t>موسسه شهر کتاب مرکزی</t>
        </is>
      </c>
      <c r="C542" s="9" t="inlineStr">
        <is>
          <t>سالانه</t>
        </is>
      </c>
      <c r="D542" s="9" t="inlineStr">
        <is>
          <t>جمع‌آوری مدارک و آماده‌سازی اظهارنامه عملکرد سال 1405</t>
        </is>
      </c>
      <c r="E542" s="9" t="inlineStr">
        <is>
          <t>سالانه</t>
        </is>
      </c>
      <c r="F542" s="9" t="inlineStr">
        <is>
          <t>سال 1405</t>
        </is>
      </c>
      <c r="G542" s="10" t="n">
        <v>46590</v>
      </c>
      <c r="H542" s="9" t="inlineStr">
        <is>
          <t>1406/04/31</t>
        </is>
      </c>
      <c r="I542" s="9" t="n">
        <v>30</v>
      </c>
      <c r="J542" s="10">
        <f>IF(G542="","",G542-I542)</f>
        <v/>
      </c>
      <c r="K542" s="9" t="inlineStr">
        <is>
          <t>خیلی بالا</t>
        </is>
      </c>
      <c r="L542" s="9" t="inlineStr">
        <is>
          <t>باز</t>
        </is>
      </c>
      <c r="M542" s="9">
        <f>IF(D542="","",IF(L542="انجام شده","انجام شده",IF(L542="لغو شده","لغو شده",IF(G542&lt;TODAY(),"عقب‌افتاده",IF(G542=TODAY(),"امروز",IF(G542&lt;=TODAY()+7,"تا ۷ روز",IF(G542&lt;=TODAY()+15,"تا ۱۵ روز","آینده")))))))</f>
        <v/>
      </c>
      <c r="N542" s="9" t="inlineStr"/>
      <c r="O542" s="9" t="n">
        <v>0</v>
      </c>
      <c r="P542" s="10" t="n"/>
      <c r="Q542" s="9" t="inlineStr"/>
      <c r="R542" s="9" t="inlineStr">
        <is>
          <t>پیش‌فرض 1405</t>
        </is>
      </c>
      <c r="S542" s="9" t="inlineStr">
        <is>
          <t>T301</t>
        </is>
      </c>
      <c r="T542" s="9" t="inlineStr">
        <is>
          <t>بله</t>
        </is>
      </c>
    </row>
    <row r="543">
      <c r="A543" s="9" t="inlineStr">
        <is>
          <t>1405-0542</t>
        </is>
      </c>
      <c r="B543" s="9" t="inlineStr">
        <is>
          <t>موسسه شهر کتاب مرکزی</t>
        </is>
      </c>
      <c r="C543" s="9" t="inlineStr">
        <is>
          <t>سالانه</t>
        </is>
      </c>
      <c r="D543" s="9" t="inlineStr">
        <is>
          <t>کنترل نهایی حساب‌ها، بستن سال مالی 1405 و انتقال مانده‌ها</t>
        </is>
      </c>
      <c r="E543" s="9" t="inlineStr">
        <is>
          <t>سالانه</t>
        </is>
      </c>
      <c r="F543" s="9" t="inlineStr">
        <is>
          <t>سال 1405</t>
        </is>
      </c>
      <c r="G543" s="10" t="n">
        <v>46497</v>
      </c>
      <c r="H543" s="9" t="inlineStr">
        <is>
          <t>1406/01/31</t>
        </is>
      </c>
      <c r="I543" s="9" t="n">
        <v>30</v>
      </c>
      <c r="J543" s="10">
        <f>IF(G543="","",G543-I543)</f>
        <v/>
      </c>
      <c r="K543" s="9" t="inlineStr">
        <is>
          <t>خیلی بالا</t>
        </is>
      </c>
      <c r="L543" s="9" t="inlineStr">
        <is>
          <t>باز</t>
        </is>
      </c>
      <c r="M543" s="9">
        <f>IF(D543="","",IF(L543="انجام شده","انجام شده",IF(L543="لغو شده","لغو شده",IF(G543&lt;TODAY(),"عقب‌افتاده",IF(G543=TODAY(),"امروز",IF(G543&lt;=TODAY()+7,"تا ۷ روز",IF(G543&lt;=TODAY()+15,"تا ۱۵ روز","آینده")))))))</f>
        <v/>
      </c>
      <c r="N543" s="9" t="inlineStr"/>
      <c r="O543" s="9" t="n">
        <v>0</v>
      </c>
      <c r="P543" s="10" t="n"/>
      <c r="Q543" s="9" t="inlineStr"/>
      <c r="R543" s="9" t="inlineStr">
        <is>
          <t>پیش‌فرض 1405</t>
        </is>
      </c>
      <c r="S543" s="9" t="inlineStr">
        <is>
          <t>T302</t>
        </is>
      </c>
      <c r="T543" s="9" t="inlineStr">
        <is>
          <t>بله</t>
        </is>
      </c>
    </row>
    <row r="544">
      <c r="A544" s="9" t="inlineStr">
        <is>
          <t>1405-0543</t>
        </is>
      </c>
      <c r="B544" s="9" t="inlineStr">
        <is>
          <t>فروشگاه شهر کتاب مرکزی</t>
        </is>
      </c>
      <c r="C544" s="9" t="inlineStr">
        <is>
          <t>سالانه</t>
        </is>
      </c>
      <c r="D544" s="9" t="inlineStr">
        <is>
          <t>جمع‌آوری مدارک و آماده‌سازی اظهارنامه عملکرد سال 1405</t>
        </is>
      </c>
      <c r="E544" s="9" t="inlineStr">
        <is>
          <t>سالانه</t>
        </is>
      </c>
      <c r="F544" s="9" t="inlineStr">
        <is>
          <t>سال 1405</t>
        </is>
      </c>
      <c r="G544" s="10" t="n">
        <v>46590</v>
      </c>
      <c r="H544" s="9" t="inlineStr">
        <is>
          <t>1406/04/31</t>
        </is>
      </c>
      <c r="I544" s="9" t="n">
        <v>30</v>
      </c>
      <c r="J544" s="10">
        <f>IF(G544="","",G544-I544)</f>
        <v/>
      </c>
      <c r="K544" s="9" t="inlineStr">
        <is>
          <t>خیلی بالا</t>
        </is>
      </c>
      <c r="L544" s="9" t="inlineStr">
        <is>
          <t>باز</t>
        </is>
      </c>
      <c r="M544" s="9">
        <f>IF(D544="","",IF(L544="انجام شده","انجام شده",IF(L544="لغو شده","لغو شده",IF(G544&lt;TODAY(),"عقب‌افتاده",IF(G544=TODAY(),"امروز",IF(G544&lt;=TODAY()+7,"تا ۷ روز",IF(G544&lt;=TODAY()+15,"تا ۱۵ روز","آینده")))))))</f>
        <v/>
      </c>
      <c r="N544" s="9" t="inlineStr"/>
      <c r="O544" s="9" t="n">
        <v>0</v>
      </c>
      <c r="P544" s="10" t="n"/>
      <c r="Q544" s="9" t="inlineStr"/>
      <c r="R544" s="9" t="inlineStr">
        <is>
          <t>پیش‌فرض 1405</t>
        </is>
      </c>
      <c r="S544" s="9" t="inlineStr">
        <is>
          <t>T301</t>
        </is>
      </c>
      <c r="T544" s="9" t="inlineStr">
        <is>
          <t>بله</t>
        </is>
      </c>
    </row>
    <row r="545">
      <c r="A545" s="9" t="inlineStr">
        <is>
          <t>1405-0544</t>
        </is>
      </c>
      <c r="B545" s="9" t="inlineStr">
        <is>
          <t>فروشگاه شهر کتاب مرکزی</t>
        </is>
      </c>
      <c r="C545" s="9" t="inlineStr">
        <is>
          <t>سالانه</t>
        </is>
      </c>
      <c r="D545" s="9" t="inlineStr">
        <is>
          <t>کنترل نهایی حساب‌ها، بستن سال مالی 1405 و انتقال مانده‌ها</t>
        </is>
      </c>
      <c r="E545" s="9" t="inlineStr">
        <is>
          <t>سالانه</t>
        </is>
      </c>
      <c r="F545" s="9" t="inlineStr">
        <is>
          <t>سال 1405</t>
        </is>
      </c>
      <c r="G545" s="10" t="n">
        <v>46497</v>
      </c>
      <c r="H545" s="9" t="inlineStr">
        <is>
          <t>1406/01/31</t>
        </is>
      </c>
      <c r="I545" s="9" t="n">
        <v>30</v>
      </c>
      <c r="J545" s="10">
        <f>IF(G545="","",G545-I545)</f>
        <v/>
      </c>
      <c r="K545" s="9" t="inlineStr">
        <is>
          <t>خیلی بالا</t>
        </is>
      </c>
      <c r="L545" s="9" t="inlineStr">
        <is>
          <t>باز</t>
        </is>
      </c>
      <c r="M545" s="9">
        <f>IF(D545="","",IF(L545="انجام شده","انجام شده",IF(L545="لغو شده","لغو شده",IF(G545&lt;TODAY(),"عقب‌افتاده",IF(G545=TODAY(),"امروز",IF(G545&lt;=TODAY()+7,"تا ۷ روز",IF(G545&lt;=TODAY()+15,"تا ۱۵ روز","آینده")))))))</f>
        <v/>
      </c>
      <c r="N545" s="9" t="inlineStr"/>
      <c r="O545" s="9" t="n">
        <v>0</v>
      </c>
      <c r="P545" s="10" t="n"/>
      <c r="Q545" s="9" t="inlineStr"/>
      <c r="R545" s="9" t="inlineStr">
        <is>
          <t>پیش‌فرض 1405</t>
        </is>
      </c>
      <c r="S545" s="9" t="inlineStr">
        <is>
          <t>T302</t>
        </is>
      </c>
      <c r="T545" s="9" t="inlineStr">
        <is>
          <t>بله</t>
        </is>
      </c>
    </row>
    <row r="546">
      <c r="A546" s="9" t="inlineStr">
        <is>
          <t>1405-0545</t>
        </is>
      </c>
      <c r="B546" s="9" t="inlineStr">
        <is>
          <t>رستگار صنعت پارس</t>
        </is>
      </c>
      <c r="C546" s="9" t="inlineStr">
        <is>
          <t>سالانه</t>
        </is>
      </c>
      <c r="D546" s="9" t="inlineStr">
        <is>
          <t>جمع‌آوری مدارک و آماده‌سازی اظهارنامه عملکرد سال 1405</t>
        </is>
      </c>
      <c r="E546" s="9" t="inlineStr">
        <is>
          <t>سالانه</t>
        </is>
      </c>
      <c r="F546" s="9" t="inlineStr">
        <is>
          <t>سال 1405</t>
        </is>
      </c>
      <c r="G546" s="10" t="n">
        <v>46590</v>
      </c>
      <c r="H546" s="9" t="inlineStr">
        <is>
          <t>1406/04/31</t>
        </is>
      </c>
      <c r="I546" s="9" t="n">
        <v>30</v>
      </c>
      <c r="J546" s="10">
        <f>IF(G546="","",G546-I546)</f>
        <v/>
      </c>
      <c r="K546" s="9" t="inlineStr">
        <is>
          <t>خیلی بالا</t>
        </is>
      </c>
      <c r="L546" s="9" t="inlineStr">
        <is>
          <t>باز</t>
        </is>
      </c>
      <c r="M546" s="9">
        <f>IF(D546="","",IF(L546="انجام شده","انجام شده",IF(L546="لغو شده","لغو شده",IF(G546&lt;TODAY(),"عقب‌افتاده",IF(G546=TODAY(),"امروز",IF(G546&lt;=TODAY()+7,"تا ۷ روز",IF(G546&lt;=TODAY()+15,"تا ۱۵ روز","آینده")))))))</f>
        <v/>
      </c>
      <c r="N546" s="9" t="inlineStr"/>
      <c r="O546" s="9" t="n">
        <v>0</v>
      </c>
      <c r="P546" s="10" t="n"/>
      <c r="Q546" s="9" t="inlineStr"/>
      <c r="R546" s="9" t="inlineStr">
        <is>
          <t>پیش‌فرض 1405</t>
        </is>
      </c>
      <c r="S546" s="9" t="inlineStr">
        <is>
          <t>T301</t>
        </is>
      </c>
      <c r="T546" s="9" t="inlineStr">
        <is>
          <t>بله</t>
        </is>
      </c>
    </row>
    <row r="547">
      <c r="A547" s="9" t="inlineStr">
        <is>
          <t>1405-0546</t>
        </is>
      </c>
      <c r="B547" s="9" t="inlineStr">
        <is>
          <t>رستگار صنعت پارس</t>
        </is>
      </c>
      <c r="C547" s="9" t="inlineStr">
        <is>
          <t>سالانه</t>
        </is>
      </c>
      <c r="D547" s="9" t="inlineStr">
        <is>
          <t>کنترل نهایی حساب‌ها، بستن سال مالی 1405 و انتقال مانده‌ها</t>
        </is>
      </c>
      <c r="E547" s="9" t="inlineStr">
        <is>
          <t>سالانه</t>
        </is>
      </c>
      <c r="F547" s="9" t="inlineStr">
        <is>
          <t>سال 1405</t>
        </is>
      </c>
      <c r="G547" s="10" t="n">
        <v>46497</v>
      </c>
      <c r="H547" s="9" t="inlineStr">
        <is>
          <t>1406/01/31</t>
        </is>
      </c>
      <c r="I547" s="9" t="n">
        <v>30</v>
      </c>
      <c r="J547" s="10">
        <f>IF(G547="","",G547-I547)</f>
        <v/>
      </c>
      <c r="K547" s="9" t="inlineStr">
        <is>
          <t>خیلی بالا</t>
        </is>
      </c>
      <c r="L547" s="9" t="inlineStr">
        <is>
          <t>باز</t>
        </is>
      </c>
      <c r="M547" s="9">
        <f>IF(D547="","",IF(L547="انجام شده","انجام شده",IF(L547="لغو شده","لغو شده",IF(G547&lt;TODAY(),"عقب‌افتاده",IF(G547=TODAY(),"امروز",IF(G547&lt;=TODAY()+7,"تا ۷ روز",IF(G547&lt;=TODAY()+15,"تا ۱۵ روز","آینده")))))))</f>
        <v/>
      </c>
      <c r="N547" s="9" t="inlineStr"/>
      <c r="O547" s="9" t="n">
        <v>0</v>
      </c>
      <c r="P547" s="10" t="n"/>
      <c r="Q547" s="9" t="inlineStr"/>
      <c r="R547" s="9" t="inlineStr">
        <is>
          <t>پیش‌فرض 1405</t>
        </is>
      </c>
      <c r="S547" s="9" t="inlineStr">
        <is>
          <t>T302</t>
        </is>
      </c>
      <c r="T547" s="9" t="inlineStr">
        <is>
          <t>بله</t>
        </is>
      </c>
    </row>
    <row r="548">
      <c r="A548" s="9" t="inlineStr">
        <is>
          <t>1405-0547</t>
        </is>
      </c>
      <c r="B548" s="9" t="inlineStr">
        <is>
          <t>کیوان الکترونیک ایرانیان</t>
        </is>
      </c>
      <c r="C548" s="9" t="inlineStr">
        <is>
          <t>سالانه</t>
        </is>
      </c>
      <c r="D548" s="9" t="inlineStr">
        <is>
          <t>جمع‌آوری مدارک و آماده‌سازی اظهارنامه عملکرد سال 1405</t>
        </is>
      </c>
      <c r="E548" s="9" t="inlineStr">
        <is>
          <t>سالانه</t>
        </is>
      </c>
      <c r="F548" s="9" t="inlineStr">
        <is>
          <t>سال 1405</t>
        </is>
      </c>
      <c r="G548" s="10" t="n">
        <v>46590</v>
      </c>
      <c r="H548" s="9" t="inlineStr">
        <is>
          <t>1406/04/31</t>
        </is>
      </c>
      <c r="I548" s="9" t="n">
        <v>30</v>
      </c>
      <c r="J548" s="10">
        <f>IF(G548="","",G548-I548)</f>
        <v/>
      </c>
      <c r="K548" s="9" t="inlineStr">
        <is>
          <t>خیلی بالا</t>
        </is>
      </c>
      <c r="L548" s="9" t="inlineStr">
        <is>
          <t>باز</t>
        </is>
      </c>
      <c r="M548" s="9">
        <f>IF(D548="","",IF(L548="انجام شده","انجام شده",IF(L548="لغو شده","لغو شده",IF(G548&lt;TODAY(),"عقب‌افتاده",IF(G548=TODAY(),"امروز",IF(G548&lt;=TODAY()+7,"تا ۷ روز",IF(G548&lt;=TODAY()+15,"تا ۱۵ روز","آینده")))))))</f>
        <v/>
      </c>
      <c r="N548" s="9" t="inlineStr"/>
      <c r="O548" s="9" t="n">
        <v>0</v>
      </c>
      <c r="P548" s="10" t="n"/>
      <c r="Q548" s="9" t="inlineStr"/>
      <c r="R548" s="9" t="inlineStr">
        <is>
          <t>پیش‌فرض 1405</t>
        </is>
      </c>
      <c r="S548" s="9" t="inlineStr">
        <is>
          <t>T301</t>
        </is>
      </c>
      <c r="T548" s="9" t="inlineStr">
        <is>
          <t>بله</t>
        </is>
      </c>
    </row>
    <row r="549">
      <c r="A549" s="9" t="inlineStr">
        <is>
          <t>1405-0548</t>
        </is>
      </c>
      <c r="B549" s="9" t="inlineStr">
        <is>
          <t>کیوان الکترونیک ایرانیان</t>
        </is>
      </c>
      <c r="C549" s="9" t="inlineStr">
        <is>
          <t>سالانه</t>
        </is>
      </c>
      <c r="D549" s="9" t="inlineStr">
        <is>
          <t>کنترل نهایی حساب‌ها، بستن سال مالی 1405 و انتقال مانده‌ها</t>
        </is>
      </c>
      <c r="E549" s="9" t="inlineStr">
        <is>
          <t>سالانه</t>
        </is>
      </c>
      <c r="F549" s="9" t="inlineStr">
        <is>
          <t>سال 1405</t>
        </is>
      </c>
      <c r="G549" s="10" t="n">
        <v>46497</v>
      </c>
      <c r="H549" s="9" t="inlineStr">
        <is>
          <t>1406/01/31</t>
        </is>
      </c>
      <c r="I549" s="9" t="n">
        <v>30</v>
      </c>
      <c r="J549" s="10">
        <f>IF(G549="","",G549-I549)</f>
        <v/>
      </c>
      <c r="K549" s="9" t="inlineStr">
        <is>
          <t>خیلی بالا</t>
        </is>
      </c>
      <c r="L549" s="9" t="inlineStr">
        <is>
          <t>باز</t>
        </is>
      </c>
      <c r="M549" s="9">
        <f>IF(D549="","",IF(L549="انجام شده","انجام شده",IF(L549="لغو شده","لغو شده",IF(G549&lt;TODAY(),"عقب‌افتاده",IF(G549=TODAY(),"امروز",IF(G549&lt;=TODAY()+7,"تا ۷ روز",IF(G549&lt;=TODAY()+15,"تا ۱۵ روز","آینده")))))))</f>
        <v/>
      </c>
      <c r="N549" s="9" t="inlineStr"/>
      <c r="O549" s="9" t="n">
        <v>0</v>
      </c>
      <c r="P549" s="10" t="n"/>
      <c r="Q549" s="9" t="inlineStr"/>
      <c r="R549" s="9" t="inlineStr">
        <is>
          <t>پیش‌فرض 1405</t>
        </is>
      </c>
      <c r="S549" s="9" t="inlineStr">
        <is>
          <t>T302</t>
        </is>
      </c>
      <c r="T549" s="9" t="inlineStr">
        <is>
          <t>بله</t>
        </is>
      </c>
    </row>
    <row r="550">
      <c r="A550" s="9" t="inlineStr">
        <is>
          <t>1405-0549</t>
        </is>
      </c>
      <c r="B550" s="9" t="inlineStr">
        <is>
          <t>کیهان توسعه البرز</t>
        </is>
      </c>
      <c r="C550" s="9" t="inlineStr">
        <is>
          <t>سالانه</t>
        </is>
      </c>
      <c r="D550" s="9" t="inlineStr">
        <is>
          <t>جمع‌آوری مدارک و آماده‌سازی اظهارنامه عملکرد سال 1405</t>
        </is>
      </c>
      <c r="E550" s="9" t="inlineStr">
        <is>
          <t>سالانه</t>
        </is>
      </c>
      <c r="F550" s="9" t="inlineStr">
        <is>
          <t>سال 1405</t>
        </is>
      </c>
      <c r="G550" s="10" t="n">
        <v>46590</v>
      </c>
      <c r="H550" s="9" t="inlineStr">
        <is>
          <t>1406/04/31</t>
        </is>
      </c>
      <c r="I550" s="9" t="n">
        <v>30</v>
      </c>
      <c r="J550" s="10">
        <f>IF(G550="","",G550-I550)</f>
        <v/>
      </c>
      <c r="K550" s="9" t="inlineStr">
        <is>
          <t>خیلی بالا</t>
        </is>
      </c>
      <c r="L550" s="9" t="inlineStr">
        <is>
          <t>باز</t>
        </is>
      </c>
      <c r="M550" s="9">
        <f>IF(D550="","",IF(L550="انجام شده","انجام شده",IF(L550="لغو شده","لغو شده",IF(G550&lt;TODAY(),"عقب‌افتاده",IF(G550=TODAY(),"امروز",IF(G550&lt;=TODAY()+7,"تا ۷ روز",IF(G550&lt;=TODAY()+15,"تا ۱۵ روز","آینده")))))))</f>
        <v/>
      </c>
      <c r="N550" s="9" t="inlineStr"/>
      <c r="O550" s="9" t="n">
        <v>0</v>
      </c>
      <c r="P550" s="10" t="n"/>
      <c r="Q550" s="9" t="inlineStr"/>
      <c r="R550" s="9" t="inlineStr">
        <is>
          <t>پیش‌فرض 1405</t>
        </is>
      </c>
      <c r="S550" s="9" t="inlineStr">
        <is>
          <t>T301</t>
        </is>
      </c>
      <c r="T550" s="9" t="inlineStr">
        <is>
          <t>بله</t>
        </is>
      </c>
    </row>
    <row r="551">
      <c r="A551" s="9" t="inlineStr">
        <is>
          <t>1405-0550</t>
        </is>
      </c>
      <c r="B551" s="9" t="inlineStr">
        <is>
          <t>کیهان توسعه البرز</t>
        </is>
      </c>
      <c r="C551" s="9" t="inlineStr">
        <is>
          <t>سالانه</t>
        </is>
      </c>
      <c r="D551" s="9" t="inlineStr">
        <is>
          <t>کنترل نهایی حساب‌ها، بستن سال مالی 1405 و انتقال مانده‌ها</t>
        </is>
      </c>
      <c r="E551" s="9" t="inlineStr">
        <is>
          <t>سالانه</t>
        </is>
      </c>
      <c r="F551" s="9" t="inlineStr">
        <is>
          <t>سال 1405</t>
        </is>
      </c>
      <c r="G551" s="10" t="n">
        <v>46497</v>
      </c>
      <c r="H551" s="9" t="inlineStr">
        <is>
          <t>1406/01/31</t>
        </is>
      </c>
      <c r="I551" s="9" t="n">
        <v>30</v>
      </c>
      <c r="J551" s="10">
        <f>IF(G551="","",G551-I551)</f>
        <v/>
      </c>
      <c r="K551" s="9" t="inlineStr">
        <is>
          <t>خیلی بالا</t>
        </is>
      </c>
      <c r="L551" s="9" t="inlineStr">
        <is>
          <t>باز</t>
        </is>
      </c>
      <c r="M551" s="9">
        <f>IF(D551="","",IF(L551="انجام شده","انجام شده",IF(L551="لغو شده","لغو شده",IF(G551&lt;TODAY(),"عقب‌افتاده",IF(G551=TODAY(),"امروز",IF(G551&lt;=TODAY()+7,"تا ۷ روز",IF(G551&lt;=TODAY()+15,"تا ۱۵ روز","آینده")))))))</f>
        <v/>
      </c>
      <c r="N551" s="9" t="inlineStr"/>
      <c r="O551" s="9" t="n">
        <v>0</v>
      </c>
      <c r="P551" s="10" t="n"/>
      <c r="Q551" s="9" t="inlineStr"/>
      <c r="R551" s="9" t="inlineStr">
        <is>
          <t>پیش‌فرض 1405</t>
        </is>
      </c>
      <c r="S551" s="9" t="inlineStr">
        <is>
          <t>T302</t>
        </is>
      </c>
      <c r="T551" s="9" t="inlineStr">
        <is>
          <t>بله</t>
        </is>
      </c>
    </row>
    <row r="552">
      <c r="A552" s="9" t="inlineStr"/>
      <c r="B552" s="9" t="inlineStr"/>
      <c r="C552" s="9" t="inlineStr"/>
      <c r="D552" s="9" t="inlineStr"/>
      <c r="E552" s="9" t="inlineStr"/>
      <c r="F552" s="9" t="inlineStr"/>
      <c r="G552" s="10" t="inlineStr"/>
      <c r="H552" s="9" t="inlineStr"/>
      <c r="I552" s="9" t="inlineStr"/>
      <c r="J552" s="10">
        <f>IF(G552="","",G552-I552)</f>
        <v/>
      </c>
      <c r="K552" s="9" t="inlineStr"/>
      <c r="L552" s="9" t="inlineStr"/>
      <c r="M552" s="9">
        <f>IF(D552="","",IF(L552="انجام شده","انجام شده",IF(L552="لغو شده","لغو شده",IF(G552&lt;TODAY(),"عقب‌افتاده",IF(G552=TODAY(),"امروز",IF(G552&lt;=TODAY()+7,"تا ۷ روز",IF(G552&lt;=TODAY()+15,"تا ۱۵ روز","آینده")))))))</f>
        <v/>
      </c>
      <c r="N552" s="9" t="inlineStr"/>
      <c r="O552" s="9" t="inlineStr"/>
      <c r="P552" s="10" t="inlineStr"/>
      <c r="Q552" s="9" t="inlineStr"/>
      <c r="R552" s="9" t="inlineStr"/>
      <c r="S552" s="9" t="inlineStr"/>
      <c r="T552" s="9" t="inlineStr"/>
    </row>
    <row r="553">
      <c r="A553" s="9" t="inlineStr"/>
      <c r="B553" s="9" t="inlineStr"/>
      <c r="C553" s="9" t="inlineStr"/>
      <c r="D553" s="9" t="inlineStr"/>
      <c r="E553" s="9" t="inlineStr"/>
      <c r="F553" s="9" t="inlineStr"/>
      <c r="G553" s="10" t="inlineStr"/>
      <c r="H553" s="9" t="inlineStr"/>
      <c r="I553" s="9" t="inlineStr"/>
      <c r="J553" s="10">
        <f>IF(G553="","",G553-I553)</f>
        <v/>
      </c>
      <c r="K553" s="9" t="inlineStr"/>
      <c r="L553" s="9" t="inlineStr"/>
      <c r="M553" s="9">
        <f>IF(D553="","",IF(L553="انجام شده","انجام شده",IF(L553="لغو شده","لغو شده",IF(G553&lt;TODAY(),"عقب‌افتاده",IF(G553=TODAY(),"امروز",IF(G553&lt;=TODAY()+7,"تا ۷ روز",IF(G553&lt;=TODAY()+15,"تا ۱۵ روز","آینده")))))))</f>
        <v/>
      </c>
      <c r="N553" s="9" t="inlineStr"/>
      <c r="O553" s="9" t="inlineStr"/>
      <c r="P553" s="10" t="inlineStr"/>
      <c r="Q553" s="9" t="inlineStr"/>
      <c r="R553" s="9" t="inlineStr"/>
      <c r="S553" s="9" t="inlineStr"/>
      <c r="T553" s="9" t="inlineStr"/>
    </row>
    <row r="554">
      <c r="A554" s="9" t="inlineStr"/>
      <c r="B554" s="9" t="inlineStr"/>
      <c r="C554" s="9" t="inlineStr"/>
      <c r="D554" s="9" t="inlineStr"/>
      <c r="E554" s="9" t="inlineStr"/>
      <c r="F554" s="9" t="inlineStr"/>
      <c r="G554" s="10" t="inlineStr"/>
      <c r="H554" s="9" t="inlineStr"/>
      <c r="I554" s="9" t="inlineStr"/>
      <c r="J554" s="10">
        <f>IF(G554="","",G554-I554)</f>
        <v/>
      </c>
      <c r="K554" s="9" t="inlineStr"/>
      <c r="L554" s="9" t="inlineStr"/>
      <c r="M554" s="9">
        <f>IF(D554="","",IF(L554="انجام شده","انجام شده",IF(L554="لغو شده","لغو شده",IF(G554&lt;TODAY(),"عقب‌افتاده",IF(G554=TODAY(),"امروز",IF(G554&lt;=TODAY()+7,"تا ۷ روز",IF(G554&lt;=TODAY()+15,"تا ۱۵ روز","آینده")))))))</f>
        <v/>
      </c>
      <c r="N554" s="9" t="inlineStr"/>
      <c r="O554" s="9" t="inlineStr"/>
      <c r="P554" s="10" t="inlineStr"/>
      <c r="Q554" s="9" t="inlineStr"/>
      <c r="R554" s="9" t="inlineStr"/>
      <c r="S554" s="9" t="inlineStr"/>
      <c r="T554" s="9" t="inlineStr"/>
    </row>
    <row r="555">
      <c r="A555" s="9" t="inlineStr"/>
      <c r="B555" s="9" t="inlineStr"/>
      <c r="C555" s="9" t="inlineStr"/>
      <c r="D555" s="9" t="inlineStr"/>
      <c r="E555" s="9" t="inlineStr"/>
      <c r="F555" s="9" t="inlineStr"/>
      <c r="G555" s="10" t="inlineStr"/>
      <c r="H555" s="9" t="inlineStr"/>
      <c r="I555" s="9" t="inlineStr"/>
      <c r="J555" s="10">
        <f>IF(G555="","",G555-I555)</f>
        <v/>
      </c>
      <c r="K555" s="9" t="inlineStr"/>
      <c r="L555" s="9" t="inlineStr"/>
      <c r="M555" s="9">
        <f>IF(D555="","",IF(L555="انجام شده","انجام شده",IF(L555="لغو شده","لغو شده",IF(G555&lt;TODAY(),"عقب‌افتاده",IF(G555=TODAY(),"امروز",IF(G555&lt;=TODAY()+7,"تا ۷ روز",IF(G555&lt;=TODAY()+15,"تا ۱۵ روز","آینده")))))))</f>
        <v/>
      </c>
      <c r="N555" s="9" t="inlineStr"/>
      <c r="O555" s="9" t="inlineStr"/>
      <c r="P555" s="10" t="inlineStr"/>
      <c r="Q555" s="9" t="inlineStr"/>
      <c r="R555" s="9" t="inlineStr"/>
      <c r="S555" s="9" t="inlineStr"/>
      <c r="T555" s="9" t="inlineStr"/>
    </row>
    <row r="556">
      <c r="A556" s="9" t="inlineStr"/>
      <c r="B556" s="9" t="inlineStr"/>
      <c r="C556" s="9" t="inlineStr"/>
      <c r="D556" s="9" t="inlineStr"/>
      <c r="E556" s="9" t="inlineStr"/>
      <c r="F556" s="9" t="inlineStr"/>
      <c r="G556" s="10" t="inlineStr"/>
      <c r="H556" s="9" t="inlineStr"/>
      <c r="I556" s="9" t="inlineStr"/>
      <c r="J556" s="10">
        <f>IF(G556="","",G556-I556)</f>
        <v/>
      </c>
      <c r="K556" s="9" t="inlineStr"/>
      <c r="L556" s="9" t="inlineStr"/>
      <c r="M556" s="9">
        <f>IF(D556="","",IF(L556="انجام شده","انجام شده",IF(L556="لغو شده","لغو شده",IF(G556&lt;TODAY(),"عقب‌افتاده",IF(G556=TODAY(),"امروز",IF(G556&lt;=TODAY()+7,"تا ۷ روز",IF(G556&lt;=TODAY()+15,"تا ۱۵ روز","آینده")))))))</f>
        <v/>
      </c>
      <c r="N556" s="9" t="inlineStr"/>
      <c r="O556" s="9" t="inlineStr"/>
      <c r="P556" s="10" t="inlineStr"/>
      <c r="Q556" s="9" t="inlineStr"/>
      <c r="R556" s="9" t="inlineStr"/>
      <c r="S556" s="9" t="inlineStr"/>
      <c r="T556" s="9" t="inlineStr"/>
    </row>
    <row r="557">
      <c r="A557" s="9" t="inlineStr"/>
      <c r="B557" s="9" t="inlineStr"/>
      <c r="C557" s="9" t="inlineStr"/>
      <c r="D557" s="9" t="inlineStr"/>
      <c r="E557" s="9" t="inlineStr"/>
      <c r="F557" s="9" t="inlineStr"/>
      <c r="G557" s="10" t="inlineStr"/>
      <c r="H557" s="9" t="inlineStr"/>
      <c r="I557" s="9" t="inlineStr"/>
      <c r="J557" s="10">
        <f>IF(G557="","",G557-I557)</f>
        <v/>
      </c>
      <c r="K557" s="9" t="inlineStr"/>
      <c r="L557" s="9" t="inlineStr"/>
      <c r="M557" s="9">
        <f>IF(D557="","",IF(L557="انجام شده","انجام شده",IF(L557="لغو شده","لغو شده",IF(G557&lt;TODAY(),"عقب‌افتاده",IF(G557=TODAY(),"امروز",IF(G557&lt;=TODAY()+7,"تا ۷ روز",IF(G557&lt;=TODAY()+15,"تا ۱۵ روز","آینده")))))))</f>
        <v/>
      </c>
      <c r="N557" s="9" t="inlineStr"/>
      <c r="O557" s="9" t="inlineStr"/>
      <c r="P557" s="10" t="inlineStr"/>
      <c r="Q557" s="9" t="inlineStr"/>
      <c r="R557" s="9" t="inlineStr"/>
      <c r="S557" s="9" t="inlineStr"/>
      <c r="T557" s="9" t="inlineStr"/>
    </row>
    <row r="558">
      <c r="A558" s="9" t="inlineStr"/>
      <c r="B558" s="9" t="inlineStr"/>
      <c r="C558" s="9" t="inlineStr"/>
      <c r="D558" s="9" t="inlineStr"/>
      <c r="E558" s="9" t="inlineStr"/>
      <c r="F558" s="9" t="inlineStr"/>
      <c r="G558" s="10" t="inlineStr"/>
      <c r="H558" s="9" t="inlineStr"/>
      <c r="I558" s="9" t="inlineStr"/>
      <c r="J558" s="10">
        <f>IF(G558="","",G558-I558)</f>
        <v/>
      </c>
      <c r="K558" s="9" t="inlineStr"/>
      <c r="L558" s="9" t="inlineStr"/>
      <c r="M558" s="9">
        <f>IF(D558="","",IF(L558="انجام شده","انجام شده",IF(L558="لغو شده","لغو شده",IF(G558&lt;TODAY(),"عقب‌افتاده",IF(G558=TODAY(),"امروز",IF(G558&lt;=TODAY()+7,"تا ۷ روز",IF(G558&lt;=TODAY()+15,"تا ۱۵ روز","آینده")))))))</f>
        <v/>
      </c>
      <c r="N558" s="9" t="inlineStr"/>
      <c r="O558" s="9" t="inlineStr"/>
      <c r="P558" s="10" t="inlineStr"/>
      <c r="Q558" s="9" t="inlineStr"/>
      <c r="R558" s="9" t="inlineStr"/>
      <c r="S558" s="9" t="inlineStr"/>
      <c r="T558" s="9" t="inlineStr"/>
    </row>
    <row r="559">
      <c r="A559" s="9" t="inlineStr"/>
      <c r="B559" s="9" t="inlineStr"/>
      <c r="C559" s="9" t="inlineStr"/>
      <c r="D559" s="9" t="inlineStr"/>
      <c r="E559" s="9" t="inlineStr"/>
      <c r="F559" s="9" t="inlineStr"/>
      <c r="G559" s="10" t="inlineStr"/>
      <c r="H559" s="9" t="inlineStr"/>
      <c r="I559" s="9" t="inlineStr"/>
      <c r="J559" s="10">
        <f>IF(G559="","",G559-I559)</f>
        <v/>
      </c>
      <c r="K559" s="9" t="inlineStr"/>
      <c r="L559" s="9" t="inlineStr"/>
      <c r="M559" s="9">
        <f>IF(D559="","",IF(L559="انجام شده","انجام شده",IF(L559="لغو شده","لغو شده",IF(G559&lt;TODAY(),"عقب‌افتاده",IF(G559=TODAY(),"امروز",IF(G559&lt;=TODAY()+7,"تا ۷ روز",IF(G559&lt;=TODAY()+15,"تا ۱۵ روز","آینده")))))))</f>
        <v/>
      </c>
      <c r="N559" s="9" t="inlineStr"/>
      <c r="O559" s="9" t="inlineStr"/>
      <c r="P559" s="10" t="inlineStr"/>
      <c r="Q559" s="9" t="inlineStr"/>
      <c r="R559" s="9" t="inlineStr"/>
      <c r="S559" s="9" t="inlineStr"/>
      <c r="T559" s="9" t="inlineStr"/>
    </row>
    <row r="560">
      <c r="A560" s="9" t="inlineStr"/>
      <c r="B560" s="9" t="inlineStr"/>
      <c r="C560" s="9" t="inlineStr"/>
      <c r="D560" s="9" t="inlineStr"/>
      <c r="E560" s="9" t="inlineStr"/>
      <c r="F560" s="9" t="inlineStr"/>
      <c r="G560" s="10" t="inlineStr"/>
      <c r="H560" s="9" t="inlineStr"/>
      <c r="I560" s="9" t="inlineStr"/>
      <c r="J560" s="10">
        <f>IF(G560="","",G560-I560)</f>
        <v/>
      </c>
      <c r="K560" s="9" t="inlineStr"/>
      <c r="L560" s="9" t="inlineStr"/>
      <c r="M560" s="9">
        <f>IF(D560="","",IF(L560="انجام شده","انجام شده",IF(L560="لغو شده","لغو شده",IF(G560&lt;TODAY(),"عقب‌افتاده",IF(G560=TODAY(),"امروز",IF(G560&lt;=TODAY()+7,"تا ۷ روز",IF(G560&lt;=TODAY()+15,"تا ۱۵ روز","آینده")))))))</f>
        <v/>
      </c>
      <c r="N560" s="9" t="inlineStr"/>
      <c r="O560" s="9" t="inlineStr"/>
      <c r="P560" s="10" t="inlineStr"/>
      <c r="Q560" s="9" t="inlineStr"/>
      <c r="R560" s="9" t="inlineStr"/>
      <c r="S560" s="9" t="inlineStr"/>
      <c r="T560" s="9" t="inlineStr"/>
    </row>
    <row r="561">
      <c r="A561" s="9" t="inlineStr"/>
      <c r="B561" s="9" t="inlineStr"/>
      <c r="C561" s="9" t="inlineStr"/>
      <c r="D561" s="9" t="inlineStr"/>
      <c r="E561" s="9" t="inlineStr"/>
      <c r="F561" s="9" t="inlineStr"/>
      <c r="G561" s="10" t="inlineStr"/>
      <c r="H561" s="9" t="inlineStr"/>
      <c r="I561" s="9" t="inlineStr"/>
      <c r="J561" s="10">
        <f>IF(G561="","",G561-I561)</f>
        <v/>
      </c>
      <c r="K561" s="9" t="inlineStr"/>
      <c r="L561" s="9" t="inlineStr"/>
      <c r="M561" s="9">
        <f>IF(D561="","",IF(L561="انجام شده","انجام شده",IF(L561="لغو شده","لغو شده",IF(G561&lt;TODAY(),"عقب‌افتاده",IF(G561=TODAY(),"امروز",IF(G561&lt;=TODAY()+7,"تا ۷ روز",IF(G561&lt;=TODAY()+15,"تا ۱۵ روز","آینده")))))))</f>
        <v/>
      </c>
      <c r="N561" s="9" t="inlineStr"/>
      <c r="O561" s="9" t="inlineStr"/>
      <c r="P561" s="10" t="inlineStr"/>
      <c r="Q561" s="9" t="inlineStr"/>
      <c r="R561" s="9" t="inlineStr"/>
      <c r="S561" s="9" t="inlineStr"/>
      <c r="T561" s="9" t="inlineStr"/>
    </row>
    <row r="562">
      <c r="A562" s="9" t="inlineStr"/>
      <c r="B562" s="9" t="inlineStr"/>
      <c r="C562" s="9" t="inlineStr"/>
      <c r="D562" s="9" t="inlineStr"/>
      <c r="E562" s="9" t="inlineStr"/>
      <c r="F562" s="9" t="inlineStr"/>
      <c r="G562" s="10" t="inlineStr"/>
      <c r="H562" s="9" t="inlineStr"/>
      <c r="I562" s="9" t="inlineStr"/>
      <c r="J562" s="10">
        <f>IF(G562="","",G562-I562)</f>
        <v/>
      </c>
      <c r="K562" s="9" t="inlineStr"/>
      <c r="L562" s="9" t="inlineStr"/>
      <c r="M562" s="9">
        <f>IF(D562="","",IF(L562="انجام شده","انجام شده",IF(L562="لغو شده","لغو شده",IF(G562&lt;TODAY(),"عقب‌افتاده",IF(G562=TODAY(),"امروز",IF(G562&lt;=TODAY()+7,"تا ۷ روز",IF(G562&lt;=TODAY()+15,"تا ۱۵ روز","آینده")))))))</f>
        <v/>
      </c>
      <c r="N562" s="9" t="inlineStr"/>
      <c r="O562" s="9" t="inlineStr"/>
      <c r="P562" s="10" t="inlineStr"/>
      <c r="Q562" s="9" t="inlineStr"/>
      <c r="R562" s="9" t="inlineStr"/>
      <c r="S562" s="9" t="inlineStr"/>
      <c r="T562" s="9" t="inlineStr"/>
    </row>
    <row r="563">
      <c r="A563" s="9" t="inlineStr"/>
      <c r="B563" s="9" t="inlineStr"/>
      <c r="C563" s="9" t="inlineStr"/>
      <c r="D563" s="9" t="inlineStr"/>
      <c r="E563" s="9" t="inlineStr"/>
      <c r="F563" s="9" t="inlineStr"/>
      <c r="G563" s="10" t="inlineStr"/>
      <c r="H563" s="9" t="inlineStr"/>
      <c r="I563" s="9" t="inlineStr"/>
      <c r="J563" s="10">
        <f>IF(G563="","",G563-I563)</f>
        <v/>
      </c>
      <c r="K563" s="9" t="inlineStr"/>
      <c r="L563" s="9" t="inlineStr"/>
      <c r="M563" s="9">
        <f>IF(D563="","",IF(L563="انجام شده","انجام شده",IF(L563="لغو شده","لغو شده",IF(G563&lt;TODAY(),"عقب‌افتاده",IF(G563=TODAY(),"امروز",IF(G563&lt;=TODAY()+7,"تا ۷ روز",IF(G563&lt;=TODAY()+15,"تا ۱۵ روز","آینده")))))))</f>
        <v/>
      </c>
      <c r="N563" s="9" t="inlineStr"/>
      <c r="O563" s="9" t="inlineStr"/>
      <c r="P563" s="10" t="inlineStr"/>
      <c r="Q563" s="9" t="inlineStr"/>
      <c r="R563" s="9" t="inlineStr"/>
      <c r="S563" s="9" t="inlineStr"/>
      <c r="T563" s="9" t="inlineStr"/>
    </row>
    <row r="564">
      <c r="A564" s="9" t="inlineStr"/>
      <c r="B564" s="9" t="inlineStr"/>
      <c r="C564" s="9" t="inlineStr"/>
      <c r="D564" s="9" t="inlineStr"/>
      <c r="E564" s="9" t="inlineStr"/>
      <c r="F564" s="9" t="inlineStr"/>
      <c r="G564" s="10" t="inlineStr"/>
      <c r="H564" s="9" t="inlineStr"/>
      <c r="I564" s="9" t="inlineStr"/>
      <c r="J564" s="10">
        <f>IF(G564="","",G564-I564)</f>
        <v/>
      </c>
      <c r="K564" s="9" t="inlineStr"/>
      <c r="L564" s="9" t="inlineStr"/>
      <c r="M564" s="9">
        <f>IF(D564="","",IF(L564="انجام شده","انجام شده",IF(L564="لغو شده","لغو شده",IF(G564&lt;TODAY(),"عقب‌افتاده",IF(G564=TODAY(),"امروز",IF(G564&lt;=TODAY()+7,"تا ۷ روز",IF(G564&lt;=TODAY()+15,"تا ۱۵ روز","آینده")))))))</f>
        <v/>
      </c>
      <c r="N564" s="9" t="inlineStr"/>
      <c r="O564" s="9" t="inlineStr"/>
      <c r="P564" s="10" t="inlineStr"/>
      <c r="Q564" s="9" t="inlineStr"/>
      <c r="R564" s="9" t="inlineStr"/>
      <c r="S564" s="9" t="inlineStr"/>
      <c r="T564" s="9" t="inlineStr"/>
    </row>
    <row r="565">
      <c r="A565" s="9" t="inlineStr"/>
      <c r="B565" s="9" t="inlineStr"/>
      <c r="C565" s="9" t="inlineStr"/>
      <c r="D565" s="9" t="inlineStr"/>
      <c r="E565" s="9" t="inlineStr"/>
      <c r="F565" s="9" t="inlineStr"/>
      <c r="G565" s="10" t="inlineStr"/>
      <c r="H565" s="9" t="inlineStr"/>
      <c r="I565" s="9" t="inlineStr"/>
      <c r="J565" s="10">
        <f>IF(G565="","",G565-I565)</f>
        <v/>
      </c>
      <c r="K565" s="9" t="inlineStr"/>
      <c r="L565" s="9" t="inlineStr"/>
      <c r="M565" s="9">
        <f>IF(D565="","",IF(L565="انجام شده","انجام شده",IF(L565="لغو شده","لغو شده",IF(G565&lt;TODAY(),"عقب‌افتاده",IF(G565=TODAY(),"امروز",IF(G565&lt;=TODAY()+7,"تا ۷ روز",IF(G565&lt;=TODAY()+15,"تا ۱۵ روز","آینده")))))))</f>
        <v/>
      </c>
      <c r="N565" s="9" t="inlineStr"/>
      <c r="O565" s="9" t="inlineStr"/>
      <c r="P565" s="10" t="inlineStr"/>
      <c r="Q565" s="9" t="inlineStr"/>
      <c r="R565" s="9" t="inlineStr"/>
      <c r="S565" s="9" t="inlineStr"/>
      <c r="T565" s="9" t="inlineStr"/>
    </row>
    <row r="566">
      <c r="A566" s="9" t="inlineStr"/>
      <c r="B566" s="9" t="inlineStr"/>
      <c r="C566" s="9" t="inlineStr"/>
      <c r="D566" s="9" t="inlineStr"/>
      <c r="E566" s="9" t="inlineStr"/>
      <c r="F566" s="9" t="inlineStr"/>
      <c r="G566" s="10" t="inlineStr"/>
      <c r="H566" s="9" t="inlineStr"/>
      <c r="I566" s="9" t="inlineStr"/>
      <c r="J566" s="10">
        <f>IF(G566="","",G566-I566)</f>
        <v/>
      </c>
      <c r="K566" s="9" t="inlineStr"/>
      <c r="L566" s="9" t="inlineStr"/>
      <c r="M566" s="9">
        <f>IF(D566="","",IF(L566="انجام شده","انجام شده",IF(L566="لغو شده","لغو شده",IF(G566&lt;TODAY(),"عقب‌افتاده",IF(G566=TODAY(),"امروز",IF(G566&lt;=TODAY()+7,"تا ۷ روز",IF(G566&lt;=TODAY()+15,"تا ۱۵ روز","آینده")))))))</f>
        <v/>
      </c>
      <c r="N566" s="9" t="inlineStr"/>
      <c r="O566" s="9" t="inlineStr"/>
      <c r="P566" s="10" t="inlineStr"/>
      <c r="Q566" s="9" t="inlineStr"/>
      <c r="R566" s="9" t="inlineStr"/>
      <c r="S566" s="9" t="inlineStr"/>
      <c r="T566" s="9" t="inlineStr"/>
    </row>
    <row r="567">
      <c r="A567" s="9" t="inlineStr"/>
      <c r="B567" s="9" t="inlineStr"/>
      <c r="C567" s="9" t="inlineStr"/>
      <c r="D567" s="9" t="inlineStr"/>
      <c r="E567" s="9" t="inlineStr"/>
      <c r="F567" s="9" t="inlineStr"/>
      <c r="G567" s="10" t="inlineStr"/>
      <c r="H567" s="9" t="inlineStr"/>
      <c r="I567" s="9" t="inlineStr"/>
      <c r="J567" s="10">
        <f>IF(G567="","",G567-I567)</f>
        <v/>
      </c>
      <c r="K567" s="9" t="inlineStr"/>
      <c r="L567" s="9" t="inlineStr"/>
      <c r="M567" s="9">
        <f>IF(D567="","",IF(L567="انجام شده","انجام شده",IF(L567="لغو شده","لغو شده",IF(G567&lt;TODAY(),"عقب‌افتاده",IF(G567=TODAY(),"امروز",IF(G567&lt;=TODAY()+7,"تا ۷ روز",IF(G567&lt;=TODAY()+15,"تا ۱۵ روز","آینده")))))))</f>
        <v/>
      </c>
      <c r="N567" s="9" t="inlineStr"/>
      <c r="O567" s="9" t="inlineStr"/>
      <c r="P567" s="10" t="inlineStr"/>
      <c r="Q567" s="9" t="inlineStr"/>
      <c r="R567" s="9" t="inlineStr"/>
      <c r="S567" s="9" t="inlineStr"/>
      <c r="T567" s="9" t="inlineStr"/>
    </row>
    <row r="568">
      <c r="A568" s="9" t="inlineStr"/>
      <c r="B568" s="9" t="inlineStr"/>
      <c r="C568" s="9" t="inlineStr"/>
      <c r="D568" s="9" t="inlineStr"/>
      <c r="E568" s="9" t="inlineStr"/>
      <c r="F568" s="9" t="inlineStr"/>
      <c r="G568" s="10" t="inlineStr"/>
      <c r="H568" s="9" t="inlineStr"/>
      <c r="I568" s="9" t="inlineStr"/>
      <c r="J568" s="10">
        <f>IF(G568="","",G568-I568)</f>
        <v/>
      </c>
      <c r="K568" s="9" t="inlineStr"/>
      <c r="L568" s="9" t="inlineStr"/>
      <c r="M568" s="9">
        <f>IF(D568="","",IF(L568="انجام شده","انجام شده",IF(L568="لغو شده","لغو شده",IF(G568&lt;TODAY(),"عقب‌افتاده",IF(G568=TODAY(),"امروز",IF(G568&lt;=TODAY()+7,"تا ۷ روز",IF(G568&lt;=TODAY()+15,"تا ۱۵ روز","آینده")))))))</f>
        <v/>
      </c>
      <c r="N568" s="9" t="inlineStr"/>
      <c r="O568" s="9" t="inlineStr"/>
      <c r="P568" s="10" t="inlineStr"/>
      <c r="Q568" s="9" t="inlineStr"/>
      <c r="R568" s="9" t="inlineStr"/>
      <c r="S568" s="9" t="inlineStr"/>
      <c r="T568" s="9" t="inlineStr"/>
    </row>
    <row r="569">
      <c r="A569" s="9" t="inlineStr"/>
      <c r="B569" s="9" t="inlineStr"/>
      <c r="C569" s="9" t="inlineStr"/>
      <c r="D569" s="9" t="inlineStr"/>
      <c r="E569" s="9" t="inlineStr"/>
      <c r="F569" s="9" t="inlineStr"/>
      <c r="G569" s="10" t="inlineStr"/>
      <c r="H569" s="9" t="inlineStr"/>
      <c r="I569" s="9" t="inlineStr"/>
      <c r="J569" s="10">
        <f>IF(G569="","",G569-I569)</f>
        <v/>
      </c>
      <c r="K569" s="9" t="inlineStr"/>
      <c r="L569" s="9" t="inlineStr"/>
      <c r="M569" s="9">
        <f>IF(D569="","",IF(L569="انجام شده","انجام شده",IF(L569="لغو شده","لغو شده",IF(G569&lt;TODAY(),"عقب‌افتاده",IF(G569=TODAY(),"امروز",IF(G569&lt;=TODAY()+7,"تا ۷ روز",IF(G569&lt;=TODAY()+15,"تا ۱۵ روز","آینده")))))))</f>
        <v/>
      </c>
      <c r="N569" s="9" t="inlineStr"/>
      <c r="O569" s="9" t="inlineStr"/>
      <c r="P569" s="10" t="inlineStr"/>
      <c r="Q569" s="9" t="inlineStr"/>
      <c r="R569" s="9" t="inlineStr"/>
      <c r="S569" s="9" t="inlineStr"/>
      <c r="T569" s="9" t="inlineStr"/>
    </row>
    <row r="570">
      <c r="A570" s="9" t="inlineStr"/>
      <c r="B570" s="9" t="inlineStr"/>
      <c r="C570" s="9" t="inlineStr"/>
      <c r="D570" s="9" t="inlineStr"/>
      <c r="E570" s="9" t="inlineStr"/>
      <c r="F570" s="9" t="inlineStr"/>
      <c r="G570" s="10" t="inlineStr"/>
      <c r="H570" s="9" t="inlineStr"/>
      <c r="I570" s="9" t="inlineStr"/>
      <c r="J570" s="10">
        <f>IF(G570="","",G570-I570)</f>
        <v/>
      </c>
      <c r="K570" s="9" t="inlineStr"/>
      <c r="L570" s="9" t="inlineStr"/>
      <c r="M570" s="9">
        <f>IF(D570="","",IF(L570="انجام شده","انجام شده",IF(L570="لغو شده","لغو شده",IF(G570&lt;TODAY(),"عقب‌افتاده",IF(G570=TODAY(),"امروز",IF(G570&lt;=TODAY()+7,"تا ۷ روز",IF(G570&lt;=TODAY()+15,"تا ۱۵ روز","آینده")))))))</f>
        <v/>
      </c>
      <c r="N570" s="9" t="inlineStr"/>
      <c r="O570" s="9" t="inlineStr"/>
      <c r="P570" s="10" t="inlineStr"/>
      <c r="Q570" s="9" t="inlineStr"/>
      <c r="R570" s="9" t="inlineStr"/>
      <c r="S570" s="9" t="inlineStr"/>
      <c r="T570" s="9" t="inlineStr"/>
    </row>
    <row r="571">
      <c r="A571" s="9" t="inlineStr"/>
      <c r="B571" s="9" t="inlineStr"/>
      <c r="C571" s="9" t="inlineStr"/>
      <c r="D571" s="9" t="inlineStr"/>
      <c r="E571" s="9" t="inlineStr"/>
      <c r="F571" s="9" t="inlineStr"/>
      <c r="G571" s="10" t="inlineStr"/>
      <c r="H571" s="9" t="inlineStr"/>
      <c r="I571" s="9" t="inlineStr"/>
      <c r="J571" s="10">
        <f>IF(G571="","",G571-I571)</f>
        <v/>
      </c>
      <c r="K571" s="9" t="inlineStr"/>
      <c r="L571" s="9" t="inlineStr"/>
      <c r="M571" s="9">
        <f>IF(D571="","",IF(L571="انجام شده","انجام شده",IF(L571="لغو شده","لغو شده",IF(G571&lt;TODAY(),"عقب‌افتاده",IF(G571=TODAY(),"امروز",IF(G571&lt;=TODAY()+7,"تا ۷ روز",IF(G571&lt;=TODAY()+15,"تا ۱۵ روز","آینده")))))))</f>
        <v/>
      </c>
      <c r="N571" s="9" t="inlineStr"/>
      <c r="O571" s="9" t="inlineStr"/>
      <c r="P571" s="10" t="inlineStr"/>
      <c r="Q571" s="9" t="inlineStr"/>
      <c r="R571" s="9" t="inlineStr"/>
      <c r="S571" s="9" t="inlineStr"/>
      <c r="T571" s="9" t="inlineStr"/>
    </row>
    <row r="572">
      <c r="A572" s="9" t="inlineStr"/>
      <c r="B572" s="9" t="inlineStr"/>
      <c r="C572" s="9" t="inlineStr"/>
      <c r="D572" s="9" t="inlineStr"/>
      <c r="E572" s="9" t="inlineStr"/>
      <c r="F572" s="9" t="inlineStr"/>
      <c r="G572" s="10" t="inlineStr"/>
      <c r="H572" s="9" t="inlineStr"/>
      <c r="I572" s="9" t="inlineStr"/>
      <c r="J572" s="10">
        <f>IF(G572="","",G572-I572)</f>
        <v/>
      </c>
      <c r="K572" s="9" t="inlineStr"/>
      <c r="L572" s="9" t="inlineStr"/>
      <c r="M572" s="9">
        <f>IF(D572="","",IF(L572="انجام شده","انجام شده",IF(L572="لغو شده","لغو شده",IF(G572&lt;TODAY(),"عقب‌افتاده",IF(G572=TODAY(),"امروز",IF(G572&lt;=TODAY()+7,"تا ۷ روز",IF(G572&lt;=TODAY()+15,"تا ۱۵ روز","آینده")))))))</f>
        <v/>
      </c>
      <c r="N572" s="9" t="inlineStr"/>
      <c r="O572" s="9" t="inlineStr"/>
      <c r="P572" s="10" t="inlineStr"/>
      <c r="Q572" s="9" t="inlineStr"/>
      <c r="R572" s="9" t="inlineStr"/>
      <c r="S572" s="9" t="inlineStr"/>
      <c r="T572" s="9" t="inlineStr"/>
    </row>
    <row r="573">
      <c r="A573" s="9" t="inlineStr"/>
      <c r="B573" s="9" t="inlineStr"/>
      <c r="C573" s="9" t="inlineStr"/>
      <c r="D573" s="9" t="inlineStr"/>
      <c r="E573" s="9" t="inlineStr"/>
      <c r="F573" s="9" t="inlineStr"/>
      <c r="G573" s="10" t="inlineStr"/>
      <c r="H573" s="9" t="inlineStr"/>
      <c r="I573" s="9" t="inlineStr"/>
      <c r="J573" s="10">
        <f>IF(G573="","",G573-I573)</f>
        <v/>
      </c>
      <c r="K573" s="9" t="inlineStr"/>
      <c r="L573" s="9" t="inlineStr"/>
      <c r="M573" s="9">
        <f>IF(D573="","",IF(L573="انجام شده","انجام شده",IF(L573="لغو شده","لغو شده",IF(G573&lt;TODAY(),"عقب‌افتاده",IF(G573=TODAY(),"امروز",IF(G573&lt;=TODAY()+7,"تا ۷ روز",IF(G573&lt;=TODAY()+15,"تا ۱۵ روز","آینده")))))))</f>
        <v/>
      </c>
      <c r="N573" s="9" t="inlineStr"/>
      <c r="O573" s="9" t="inlineStr"/>
      <c r="P573" s="10" t="inlineStr"/>
      <c r="Q573" s="9" t="inlineStr"/>
      <c r="R573" s="9" t="inlineStr"/>
      <c r="S573" s="9" t="inlineStr"/>
      <c r="T573" s="9" t="inlineStr"/>
    </row>
    <row r="574">
      <c r="A574" s="9" t="inlineStr"/>
      <c r="B574" s="9" t="inlineStr"/>
      <c r="C574" s="9" t="inlineStr"/>
      <c r="D574" s="9" t="inlineStr"/>
      <c r="E574" s="9" t="inlineStr"/>
      <c r="F574" s="9" t="inlineStr"/>
      <c r="G574" s="10" t="inlineStr"/>
      <c r="H574" s="9" t="inlineStr"/>
      <c r="I574" s="9" t="inlineStr"/>
      <c r="J574" s="10">
        <f>IF(G574="","",G574-I574)</f>
        <v/>
      </c>
      <c r="K574" s="9" t="inlineStr"/>
      <c r="L574" s="9" t="inlineStr"/>
      <c r="M574" s="9">
        <f>IF(D574="","",IF(L574="انجام شده","انجام شده",IF(L574="لغو شده","لغو شده",IF(G574&lt;TODAY(),"عقب‌افتاده",IF(G574=TODAY(),"امروز",IF(G574&lt;=TODAY()+7,"تا ۷ روز",IF(G574&lt;=TODAY()+15,"تا ۱۵ روز","آینده")))))))</f>
        <v/>
      </c>
      <c r="N574" s="9" t="inlineStr"/>
      <c r="O574" s="9" t="inlineStr"/>
      <c r="P574" s="10" t="inlineStr"/>
      <c r="Q574" s="9" t="inlineStr"/>
      <c r="R574" s="9" t="inlineStr"/>
      <c r="S574" s="9" t="inlineStr"/>
      <c r="T574" s="9" t="inlineStr"/>
    </row>
    <row r="575">
      <c r="A575" s="9" t="inlineStr"/>
      <c r="B575" s="9" t="inlineStr"/>
      <c r="C575" s="9" t="inlineStr"/>
      <c r="D575" s="9" t="inlineStr"/>
      <c r="E575" s="9" t="inlineStr"/>
      <c r="F575" s="9" t="inlineStr"/>
      <c r="G575" s="10" t="inlineStr"/>
      <c r="H575" s="9" t="inlineStr"/>
      <c r="I575" s="9" t="inlineStr"/>
      <c r="J575" s="10">
        <f>IF(G575="","",G575-I575)</f>
        <v/>
      </c>
      <c r="K575" s="9" t="inlineStr"/>
      <c r="L575" s="9" t="inlineStr"/>
      <c r="M575" s="9">
        <f>IF(D575="","",IF(L575="انجام شده","انجام شده",IF(L575="لغو شده","لغو شده",IF(G575&lt;TODAY(),"عقب‌افتاده",IF(G575=TODAY(),"امروز",IF(G575&lt;=TODAY()+7,"تا ۷ روز",IF(G575&lt;=TODAY()+15,"تا ۱۵ روز","آینده")))))))</f>
        <v/>
      </c>
      <c r="N575" s="9" t="inlineStr"/>
      <c r="O575" s="9" t="inlineStr"/>
      <c r="P575" s="10" t="inlineStr"/>
      <c r="Q575" s="9" t="inlineStr"/>
      <c r="R575" s="9" t="inlineStr"/>
      <c r="S575" s="9" t="inlineStr"/>
      <c r="T575" s="9" t="inlineStr"/>
    </row>
    <row r="576">
      <c r="A576" s="9" t="inlineStr"/>
      <c r="B576" s="9" t="inlineStr"/>
      <c r="C576" s="9" t="inlineStr"/>
      <c r="D576" s="9" t="inlineStr"/>
      <c r="E576" s="9" t="inlineStr"/>
      <c r="F576" s="9" t="inlineStr"/>
      <c r="G576" s="10" t="inlineStr"/>
      <c r="H576" s="9" t="inlineStr"/>
      <c r="I576" s="9" t="inlineStr"/>
      <c r="J576" s="10">
        <f>IF(G576="","",G576-I576)</f>
        <v/>
      </c>
      <c r="K576" s="9" t="inlineStr"/>
      <c r="L576" s="9" t="inlineStr"/>
      <c r="M576" s="9">
        <f>IF(D576="","",IF(L576="انجام شده","انجام شده",IF(L576="لغو شده","لغو شده",IF(G576&lt;TODAY(),"عقب‌افتاده",IF(G576=TODAY(),"امروز",IF(G576&lt;=TODAY()+7,"تا ۷ روز",IF(G576&lt;=TODAY()+15,"تا ۱۵ روز","آینده")))))))</f>
        <v/>
      </c>
      <c r="N576" s="9" t="inlineStr"/>
      <c r="O576" s="9" t="inlineStr"/>
      <c r="P576" s="10" t="inlineStr"/>
      <c r="Q576" s="9" t="inlineStr"/>
      <c r="R576" s="9" t="inlineStr"/>
      <c r="S576" s="9" t="inlineStr"/>
      <c r="T576" s="9" t="inlineStr"/>
    </row>
    <row r="577">
      <c r="A577" s="9" t="inlineStr"/>
      <c r="B577" s="9" t="inlineStr"/>
      <c r="C577" s="9" t="inlineStr"/>
      <c r="D577" s="9" t="inlineStr"/>
      <c r="E577" s="9" t="inlineStr"/>
      <c r="F577" s="9" t="inlineStr"/>
      <c r="G577" s="10" t="inlineStr"/>
      <c r="H577" s="9" t="inlineStr"/>
      <c r="I577" s="9" t="inlineStr"/>
      <c r="J577" s="10">
        <f>IF(G577="","",G577-I577)</f>
        <v/>
      </c>
      <c r="K577" s="9" t="inlineStr"/>
      <c r="L577" s="9" t="inlineStr"/>
      <c r="M577" s="9">
        <f>IF(D577="","",IF(L577="انجام شده","انجام شده",IF(L577="لغو شده","لغو شده",IF(G577&lt;TODAY(),"عقب‌افتاده",IF(G577=TODAY(),"امروز",IF(G577&lt;=TODAY()+7,"تا ۷ روز",IF(G577&lt;=TODAY()+15,"تا ۱۵ روز","آینده")))))))</f>
        <v/>
      </c>
      <c r="N577" s="9" t="inlineStr"/>
      <c r="O577" s="9" t="inlineStr"/>
      <c r="P577" s="10" t="inlineStr"/>
      <c r="Q577" s="9" t="inlineStr"/>
      <c r="R577" s="9" t="inlineStr"/>
      <c r="S577" s="9" t="inlineStr"/>
      <c r="T577" s="9" t="inlineStr"/>
    </row>
    <row r="578">
      <c r="A578" s="9" t="inlineStr"/>
      <c r="B578" s="9" t="inlineStr"/>
      <c r="C578" s="9" t="inlineStr"/>
      <c r="D578" s="9" t="inlineStr"/>
      <c r="E578" s="9" t="inlineStr"/>
      <c r="F578" s="9" t="inlineStr"/>
      <c r="G578" s="10" t="inlineStr"/>
      <c r="H578" s="9" t="inlineStr"/>
      <c r="I578" s="9" t="inlineStr"/>
      <c r="J578" s="10">
        <f>IF(G578="","",G578-I578)</f>
        <v/>
      </c>
      <c r="K578" s="9" t="inlineStr"/>
      <c r="L578" s="9" t="inlineStr"/>
      <c r="M578" s="9">
        <f>IF(D578="","",IF(L578="انجام شده","انجام شده",IF(L578="لغو شده","لغو شده",IF(G578&lt;TODAY(),"عقب‌افتاده",IF(G578=TODAY(),"امروز",IF(G578&lt;=TODAY()+7,"تا ۷ روز",IF(G578&lt;=TODAY()+15,"تا ۱۵ روز","آینده")))))))</f>
        <v/>
      </c>
      <c r="N578" s="9" t="inlineStr"/>
      <c r="O578" s="9" t="inlineStr"/>
      <c r="P578" s="10" t="inlineStr"/>
      <c r="Q578" s="9" t="inlineStr"/>
      <c r="R578" s="9" t="inlineStr"/>
      <c r="S578" s="9" t="inlineStr"/>
      <c r="T578" s="9" t="inlineStr"/>
    </row>
    <row r="579">
      <c r="A579" s="9" t="inlineStr"/>
      <c r="B579" s="9" t="inlineStr"/>
      <c r="C579" s="9" t="inlineStr"/>
      <c r="D579" s="9" t="inlineStr"/>
      <c r="E579" s="9" t="inlineStr"/>
      <c r="F579" s="9" t="inlineStr"/>
      <c r="G579" s="10" t="inlineStr"/>
      <c r="H579" s="9" t="inlineStr"/>
      <c r="I579" s="9" t="inlineStr"/>
      <c r="J579" s="10">
        <f>IF(G579="","",G579-I579)</f>
        <v/>
      </c>
      <c r="K579" s="9" t="inlineStr"/>
      <c r="L579" s="9" t="inlineStr"/>
      <c r="M579" s="9">
        <f>IF(D579="","",IF(L579="انجام شده","انجام شده",IF(L579="لغو شده","لغو شده",IF(G579&lt;TODAY(),"عقب‌افتاده",IF(G579=TODAY(),"امروز",IF(G579&lt;=TODAY()+7,"تا ۷ روز",IF(G579&lt;=TODAY()+15,"تا ۱۵ روز","آینده")))))))</f>
        <v/>
      </c>
      <c r="N579" s="9" t="inlineStr"/>
      <c r="O579" s="9" t="inlineStr"/>
      <c r="P579" s="10" t="inlineStr"/>
      <c r="Q579" s="9" t="inlineStr"/>
      <c r="R579" s="9" t="inlineStr"/>
      <c r="S579" s="9" t="inlineStr"/>
      <c r="T579" s="9" t="inlineStr"/>
    </row>
    <row r="580">
      <c r="A580" s="9" t="inlineStr"/>
      <c r="B580" s="9" t="inlineStr"/>
      <c r="C580" s="9" t="inlineStr"/>
      <c r="D580" s="9" t="inlineStr"/>
      <c r="E580" s="9" t="inlineStr"/>
      <c r="F580" s="9" t="inlineStr"/>
      <c r="G580" s="10" t="inlineStr"/>
      <c r="H580" s="9" t="inlineStr"/>
      <c r="I580" s="9" t="inlineStr"/>
      <c r="J580" s="10">
        <f>IF(G580="","",G580-I580)</f>
        <v/>
      </c>
      <c r="K580" s="9" t="inlineStr"/>
      <c r="L580" s="9" t="inlineStr"/>
      <c r="M580" s="9">
        <f>IF(D580="","",IF(L580="انجام شده","انجام شده",IF(L580="لغو شده","لغو شده",IF(G580&lt;TODAY(),"عقب‌افتاده",IF(G580=TODAY(),"امروز",IF(G580&lt;=TODAY()+7,"تا ۷ روز",IF(G580&lt;=TODAY()+15,"تا ۱۵ روز","آینده")))))))</f>
        <v/>
      </c>
      <c r="N580" s="9" t="inlineStr"/>
      <c r="O580" s="9" t="inlineStr"/>
      <c r="P580" s="10" t="inlineStr"/>
      <c r="Q580" s="9" t="inlineStr"/>
      <c r="R580" s="9" t="inlineStr"/>
      <c r="S580" s="9" t="inlineStr"/>
      <c r="T580" s="9" t="inlineStr"/>
    </row>
    <row r="581">
      <c r="A581" s="9" t="inlineStr"/>
      <c r="B581" s="9" t="inlineStr"/>
      <c r="C581" s="9" t="inlineStr"/>
      <c r="D581" s="9" t="inlineStr"/>
      <c r="E581" s="9" t="inlineStr"/>
      <c r="F581" s="9" t="inlineStr"/>
      <c r="G581" s="10" t="inlineStr"/>
      <c r="H581" s="9" t="inlineStr"/>
      <c r="I581" s="9" t="inlineStr"/>
      <c r="J581" s="10">
        <f>IF(G581="","",G581-I581)</f>
        <v/>
      </c>
      <c r="K581" s="9" t="inlineStr"/>
      <c r="L581" s="9" t="inlineStr"/>
      <c r="M581" s="9">
        <f>IF(D581="","",IF(L581="انجام شده","انجام شده",IF(L581="لغو شده","لغو شده",IF(G581&lt;TODAY(),"عقب‌افتاده",IF(G581=TODAY(),"امروز",IF(G581&lt;=TODAY()+7,"تا ۷ روز",IF(G581&lt;=TODAY()+15,"تا ۱۵ روز","آینده")))))))</f>
        <v/>
      </c>
      <c r="N581" s="9" t="inlineStr"/>
      <c r="O581" s="9" t="inlineStr"/>
      <c r="P581" s="10" t="inlineStr"/>
      <c r="Q581" s="9" t="inlineStr"/>
      <c r="R581" s="9" t="inlineStr"/>
      <c r="S581" s="9" t="inlineStr"/>
      <c r="T581" s="9" t="inlineStr"/>
    </row>
    <row r="582">
      <c r="A582" s="9" t="inlineStr"/>
      <c r="B582" s="9" t="inlineStr"/>
      <c r="C582" s="9" t="inlineStr"/>
      <c r="D582" s="9" t="inlineStr"/>
      <c r="E582" s="9" t="inlineStr"/>
      <c r="F582" s="9" t="inlineStr"/>
      <c r="G582" s="10" t="inlineStr"/>
      <c r="H582" s="9" t="inlineStr"/>
      <c r="I582" s="9" t="inlineStr"/>
      <c r="J582" s="10">
        <f>IF(G582="","",G582-I582)</f>
        <v/>
      </c>
      <c r="K582" s="9" t="inlineStr"/>
      <c r="L582" s="9" t="inlineStr"/>
      <c r="M582" s="9">
        <f>IF(D582="","",IF(L582="انجام شده","انجام شده",IF(L582="لغو شده","لغو شده",IF(G582&lt;TODAY(),"عقب‌افتاده",IF(G582=TODAY(),"امروز",IF(G582&lt;=TODAY()+7,"تا ۷ روز",IF(G582&lt;=TODAY()+15,"تا ۱۵ روز","آینده")))))))</f>
        <v/>
      </c>
      <c r="N582" s="9" t="inlineStr"/>
      <c r="O582" s="9" t="inlineStr"/>
      <c r="P582" s="10" t="inlineStr"/>
      <c r="Q582" s="9" t="inlineStr"/>
      <c r="R582" s="9" t="inlineStr"/>
      <c r="S582" s="9" t="inlineStr"/>
      <c r="T582" s="9" t="inlineStr"/>
    </row>
    <row r="583">
      <c r="A583" s="9" t="inlineStr"/>
      <c r="B583" s="9" t="inlineStr"/>
      <c r="C583" s="9" t="inlineStr"/>
      <c r="D583" s="9" t="inlineStr"/>
      <c r="E583" s="9" t="inlineStr"/>
      <c r="F583" s="9" t="inlineStr"/>
      <c r="G583" s="10" t="inlineStr"/>
      <c r="H583" s="9" t="inlineStr"/>
      <c r="I583" s="9" t="inlineStr"/>
      <c r="J583" s="10">
        <f>IF(G583="","",G583-I583)</f>
        <v/>
      </c>
      <c r="K583" s="9" t="inlineStr"/>
      <c r="L583" s="9" t="inlineStr"/>
      <c r="M583" s="9">
        <f>IF(D583="","",IF(L583="انجام شده","انجام شده",IF(L583="لغو شده","لغو شده",IF(G583&lt;TODAY(),"عقب‌افتاده",IF(G583=TODAY(),"امروز",IF(G583&lt;=TODAY()+7,"تا ۷ روز",IF(G583&lt;=TODAY()+15,"تا ۱۵ روز","آینده")))))))</f>
        <v/>
      </c>
      <c r="N583" s="9" t="inlineStr"/>
      <c r="O583" s="9" t="inlineStr"/>
      <c r="P583" s="10" t="inlineStr"/>
      <c r="Q583" s="9" t="inlineStr"/>
      <c r="R583" s="9" t="inlineStr"/>
      <c r="S583" s="9" t="inlineStr"/>
      <c r="T583" s="9" t="inlineStr"/>
    </row>
    <row r="584">
      <c r="A584" s="9" t="inlineStr"/>
      <c r="B584" s="9" t="inlineStr"/>
      <c r="C584" s="9" t="inlineStr"/>
      <c r="D584" s="9" t="inlineStr"/>
      <c r="E584" s="9" t="inlineStr"/>
      <c r="F584" s="9" t="inlineStr"/>
      <c r="G584" s="10" t="inlineStr"/>
      <c r="H584" s="9" t="inlineStr"/>
      <c r="I584" s="9" t="inlineStr"/>
      <c r="J584" s="10">
        <f>IF(G584="","",G584-I584)</f>
        <v/>
      </c>
      <c r="K584" s="9" t="inlineStr"/>
      <c r="L584" s="9" t="inlineStr"/>
      <c r="M584" s="9">
        <f>IF(D584="","",IF(L584="انجام شده","انجام شده",IF(L584="لغو شده","لغو شده",IF(G584&lt;TODAY(),"عقب‌افتاده",IF(G584=TODAY(),"امروز",IF(G584&lt;=TODAY()+7,"تا ۷ روز",IF(G584&lt;=TODAY()+15,"تا ۱۵ روز","آینده")))))))</f>
        <v/>
      </c>
      <c r="N584" s="9" t="inlineStr"/>
      <c r="O584" s="9" t="inlineStr"/>
      <c r="P584" s="10" t="inlineStr"/>
      <c r="Q584" s="9" t="inlineStr"/>
      <c r="R584" s="9" t="inlineStr"/>
      <c r="S584" s="9" t="inlineStr"/>
      <c r="T584" s="9" t="inlineStr"/>
    </row>
    <row r="585">
      <c r="A585" s="9" t="inlineStr"/>
      <c r="B585" s="9" t="inlineStr"/>
      <c r="C585" s="9" t="inlineStr"/>
      <c r="D585" s="9" t="inlineStr"/>
      <c r="E585" s="9" t="inlineStr"/>
      <c r="F585" s="9" t="inlineStr"/>
      <c r="G585" s="10" t="inlineStr"/>
      <c r="H585" s="9" t="inlineStr"/>
      <c r="I585" s="9" t="inlineStr"/>
      <c r="J585" s="10">
        <f>IF(G585="","",G585-I585)</f>
        <v/>
      </c>
      <c r="K585" s="9" t="inlineStr"/>
      <c r="L585" s="9" t="inlineStr"/>
      <c r="M585" s="9">
        <f>IF(D585="","",IF(L585="انجام شده","انجام شده",IF(L585="لغو شده","لغو شده",IF(G585&lt;TODAY(),"عقب‌افتاده",IF(G585=TODAY(),"امروز",IF(G585&lt;=TODAY()+7,"تا ۷ روز",IF(G585&lt;=TODAY()+15,"تا ۱۵ روز","آینده")))))))</f>
        <v/>
      </c>
      <c r="N585" s="9" t="inlineStr"/>
      <c r="O585" s="9" t="inlineStr"/>
      <c r="P585" s="10" t="inlineStr"/>
      <c r="Q585" s="9" t="inlineStr"/>
      <c r="R585" s="9" t="inlineStr"/>
      <c r="S585" s="9" t="inlineStr"/>
      <c r="T585" s="9" t="inlineStr"/>
    </row>
    <row r="586">
      <c r="A586" s="9" t="inlineStr"/>
      <c r="B586" s="9" t="inlineStr"/>
      <c r="C586" s="9" t="inlineStr"/>
      <c r="D586" s="9" t="inlineStr"/>
      <c r="E586" s="9" t="inlineStr"/>
      <c r="F586" s="9" t="inlineStr"/>
      <c r="G586" s="10" t="inlineStr"/>
      <c r="H586" s="9" t="inlineStr"/>
      <c r="I586" s="9" t="inlineStr"/>
      <c r="J586" s="10">
        <f>IF(G586="","",G586-I586)</f>
        <v/>
      </c>
      <c r="K586" s="9" t="inlineStr"/>
      <c r="L586" s="9" t="inlineStr"/>
      <c r="M586" s="9">
        <f>IF(D586="","",IF(L586="انجام شده","انجام شده",IF(L586="لغو شده","لغو شده",IF(G586&lt;TODAY(),"عقب‌افتاده",IF(G586=TODAY(),"امروز",IF(G586&lt;=TODAY()+7,"تا ۷ روز",IF(G586&lt;=TODAY()+15,"تا ۱۵ روز","آینده")))))))</f>
        <v/>
      </c>
      <c r="N586" s="9" t="inlineStr"/>
      <c r="O586" s="9" t="inlineStr"/>
      <c r="P586" s="10" t="inlineStr"/>
      <c r="Q586" s="9" t="inlineStr"/>
      <c r="R586" s="9" t="inlineStr"/>
      <c r="S586" s="9" t="inlineStr"/>
      <c r="T586" s="9" t="inlineStr"/>
    </row>
    <row r="587">
      <c r="A587" s="9" t="inlineStr"/>
      <c r="B587" s="9" t="inlineStr"/>
      <c r="C587" s="9" t="inlineStr"/>
      <c r="D587" s="9" t="inlineStr"/>
      <c r="E587" s="9" t="inlineStr"/>
      <c r="F587" s="9" t="inlineStr"/>
      <c r="G587" s="10" t="inlineStr"/>
      <c r="H587" s="9" t="inlineStr"/>
      <c r="I587" s="9" t="inlineStr"/>
      <c r="J587" s="10">
        <f>IF(G587="","",G587-I587)</f>
        <v/>
      </c>
      <c r="K587" s="9" t="inlineStr"/>
      <c r="L587" s="9" t="inlineStr"/>
      <c r="M587" s="9">
        <f>IF(D587="","",IF(L587="انجام شده","انجام شده",IF(L587="لغو شده","لغو شده",IF(G587&lt;TODAY(),"عقب‌افتاده",IF(G587=TODAY(),"امروز",IF(G587&lt;=TODAY()+7,"تا ۷ روز",IF(G587&lt;=TODAY()+15,"تا ۱۵ روز","آینده")))))))</f>
        <v/>
      </c>
      <c r="N587" s="9" t="inlineStr"/>
      <c r="O587" s="9" t="inlineStr"/>
      <c r="P587" s="10" t="inlineStr"/>
      <c r="Q587" s="9" t="inlineStr"/>
      <c r="R587" s="9" t="inlineStr"/>
      <c r="S587" s="9" t="inlineStr"/>
      <c r="T587" s="9" t="inlineStr"/>
    </row>
    <row r="588">
      <c r="A588" s="9" t="inlineStr"/>
      <c r="B588" s="9" t="inlineStr"/>
      <c r="C588" s="9" t="inlineStr"/>
      <c r="D588" s="9" t="inlineStr"/>
      <c r="E588" s="9" t="inlineStr"/>
      <c r="F588" s="9" t="inlineStr"/>
      <c r="G588" s="10" t="inlineStr"/>
      <c r="H588" s="9" t="inlineStr"/>
      <c r="I588" s="9" t="inlineStr"/>
      <c r="J588" s="10">
        <f>IF(G588="","",G588-I588)</f>
        <v/>
      </c>
      <c r="K588" s="9" t="inlineStr"/>
      <c r="L588" s="9" t="inlineStr"/>
      <c r="M588" s="9">
        <f>IF(D588="","",IF(L588="انجام شده","انجام شده",IF(L588="لغو شده","لغو شده",IF(G588&lt;TODAY(),"عقب‌افتاده",IF(G588=TODAY(),"امروز",IF(G588&lt;=TODAY()+7,"تا ۷ روز",IF(G588&lt;=TODAY()+15,"تا ۱۵ روز","آینده")))))))</f>
        <v/>
      </c>
      <c r="N588" s="9" t="inlineStr"/>
      <c r="O588" s="9" t="inlineStr"/>
      <c r="P588" s="10" t="inlineStr"/>
      <c r="Q588" s="9" t="inlineStr"/>
      <c r="R588" s="9" t="inlineStr"/>
      <c r="S588" s="9" t="inlineStr"/>
      <c r="T588" s="9" t="inlineStr"/>
    </row>
    <row r="589">
      <c r="A589" s="9" t="inlineStr"/>
      <c r="B589" s="9" t="inlineStr"/>
      <c r="C589" s="9" t="inlineStr"/>
      <c r="D589" s="9" t="inlineStr"/>
      <c r="E589" s="9" t="inlineStr"/>
      <c r="F589" s="9" t="inlineStr"/>
      <c r="G589" s="10" t="inlineStr"/>
      <c r="H589" s="9" t="inlineStr"/>
      <c r="I589" s="9" t="inlineStr"/>
      <c r="J589" s="10">
        <f>IF(G589="","",G589-I589)</f>
        <v/>
      </c>
      <c r="K589" s="9" t="inlineStr"/>
      <c r="L589" s="9" t="inlineStr"/>
      <c r="M589" s="9">
        <f>IF(D589="","",IF(L589="انجام شده","انجام شده",IF(L589="لغو شده","لغو شده",IF(G589&lt;TODAY(),"عقب‌افتاده",IF(G589=TODAY(),"امروز",IF(G589&lt;=TODAY()+7,"تا ۷ روز",IF(G589&lt;=TODAY()+15,"تا ۱۵ روز","آینده")))))))</f>
        <v/>
      </c>
      <c r="N589" s="9" t="inlineStr"/>
      <c r="O589" s="9" t="inlineStr"/>
      <c r="P589" s="10" t="inlineStr"/>
      <c r="Q589" s="9" t="inlineStr"/>
      <c r="R589" s="9" t="inlineStr"/>
      <c r="S589" s="9" t="inlineStr"/>
      <c r="T589" s="9" t="inlineStr"/>
    </row>
    <row r="590">
      <c r="A590" s="9" t="inlineStr"/>
      <c r="B590" s="9" t="inlineStr"/>
      <c r="C590" s="9" t="inlineStr"/>
      <c r="D590" s="9" t="inlineStr"/>
      <c r="E590" s="9" t="inlineStr"/>
      <c r="F590" s="9" t="inlineStr"/>
      <c r="G590" s="10" t="inlineStr"/>
      <c r="H590" s="9" t="inlineStr"/>
      <c r="I590" s="9" t="inlineStr"/>
      <c r="J590" s="10">
        <f>IF(G590="","",G590-I590)</f>
        <v/>
      </c>
      <c r="K590" s="9" t="inlineStr"/>
      <c r="L590" s="9" t="inlineStr"/>
      <c r="M590" s="9">
        <f>IF(D590="","",IF(L590="انجام شده","انجام شده",IF(L590="لغو شده","لغو شده",IF(G590&lt;TODAY(),"عقب‌افتاده",IF(G590=TODAY(),"امروز",IF(G590&lt;=TODAY()+7,"تا ۷ روز",IF(G590&lt;=TODAY()+15,"تا ۱۵ روز","آینده")))))))</f>
        <v/>
      </c>
      <c r="N590" s="9" t="inlineStr"/>
      <c r="O590" s="9" t="inlineStr"/>
      <c r="P590" s="10" t="inlineStr"/>
      <c r="Q590" s="9" t="inlineStr"/>
      <c r="R590" s="9" t="inlineStr"/>
      <c r="S590" s="9" t="inlineStr"/>
      <c r="T590" s="9" t="inlineStr"/>
    </row>
    <row r="591">
      <c r="A591" s="9" t="inlineStr"/>
      <c r="B591" s="9" t="inlineStr"/>
      <c r="C591" s="9" t="inlineStr"/>
      <c r="D591" s="9" t="inlineStr"/>
      <c r="E591" s="9" t="inlineStr"/>
      <c r="F591" s="9" t="inlineStr"/>
      <c r="G591" s="10" t="inlineStr"/>
      <c r="H591" s="9" t="inlineStr"/>
      <c r="I591" s="9" t="inlineStr"/>
      <c r="J591" s="10">
        <f>IF(G591="","",G591-I591)</f>
        <v/>
      </c>
      <c r="K591" s="9" t="inlineStr"/>
      <c r="L591" s="9" t="inlineStr"/>
      <c r="M591" s="9">
        <f>IF(D591="","",IF(L591="انجام شده","انجام شده",IF(L591="لغو شده","لغو شده",IF(G591&lt;TODAY(),"عقب‌افتاده",IF(G591=TODAY(),"امروز",IF(G591&lt;=TODAY()+7,"تا ۷ روز",IF(G591&lt;=TODAY()+15,"تا ۱۵ روز","آینده")))))))</f>
        <v/>
      </c>
      <c r="N591" s="9" t="inlineStr"/>
      <c r="O591" s="9" t="inlineStr"/>
      <c r="P591" s="10" t="inlineStr"/>
      <c r="Q591" s="9" t="inlineStr"/>
      <c r="R591" s="9" t="inlineStr"/>
      <c r="S591" s="9" t="inlineStr"/>
      <c r="T591" s="9" t="inlineStr"/>
    </row>
    <row r="592">
      <c r="A592" s="9" t="inlineStr"/>
      <c r="B592" s="9" t="inlineStr"/>
      <c r="C592" s="9" t="inlineStr"/>
      <c r="D592" s="9" t="inlineStr"/>
      <c r="E592" s="9" t="inlineStr"/>
      <c r="F592" s="9" t="inlineStr"/>
      <c r="G592" s="10" t="inlineStr"/>
      <c r="H592" s="9" t="inlineStr"/>
      <c r="I592" s="9" t="inlineStr"/>
      <c r="J592" s="10">
        <f>IF(G592="","",G592-I592)</f>
        <v/>
      </c>
      <c r="K592" s="9" t="inlineStr"/>
      <c r="L592" s="9" t="inlineStr"/>
      <c r="M592" s="9">
        <f>IF(D592="","",IF(L592="انجام شده","انجام شده",IF(L592="لغو شده","لغو شده",IF(G592&lt;TODAY(),"عقب‌افتاده",IF(G592=TODAY(),"امروز",IF(G592&lt;=TODAY()+7,"تا ۷ روز",IF(G592&lt;=TODAY()+15,"تا ۱۵ روز","آینده")))))))</f>
        <v/>
      </c>
      <c r="N592" s="9" t="inlineStr"/>
      <c r="O592" s="9" t="inlineStr"/>
      <c r="P592" s="10" t="inlineStr"/>
      <c r="Q592" s="9" t="inlineStr"/>
      <c r="R592" s="9" t="inlineStr"/>
      <c r="S592" s="9" t="inlineStr"/>
      <c r="T592" s="9" t="inlineStr"/>
    </row>
    <row r="593">
      <c r="A593" s="9" t="inlineStr"/>
      <c r="B593" s="9" t="inlineStr"/>
      <c r="C593" s="9" t="inlineStr"/>
      <c r="D593" s="9" t="inlineStr"/>
      <c r="E593" s="9" t="inlineStr"/>
      <c r="F593" s="9" t="inlineStr"/>
      <c r="G593" s="10" t="inlineStr"/>
      <c r="H593" s="9" t="inlineStr"/>
      <c r="I593" s="9" t="inlineStr"/>
      <c r="J593" s="10">
        <f>IF(G593="","",G593-I593)</f>
        <v/>
      </c>
      <c r="K593" s="9" t="inlineStr"/>
      <c r="L593" s="9" t="inlineStr"/>
      <c r="M593" s="9">
        <f>IF(D593="","",IF(L593="انجام شده","انجام شده",IF(L593="لغو شده","لغو شده",IF(G593&lt;TODAY(),"عقب‌افتاده",IF(G593=TODAY(),"امروز",IF(G593&lt;=TODAY()+7,"تا ۷ روز",IF(G593&lt;=TODAY()+15,"تا ۱۵ روز","آینده")))))))</f>
        <v/>
      </c>
      <c r="N593" s="9" t="inlineStr"/>
      <c r="O593" s="9" t="inlineStr"/>
      <c r="P593" s="10" t="inlineStr"/>
      <c r="Q593" s="9" t="inlineStr"/>
      <c r="R593" s="9" t="inlineStr"/>
      <c r="S593" s="9" t="inlineStr"/>
      <c r="T593" s="9" t="inlineStr"/>
    </row>
    <row r="594">
      <c r="A594" s="9" t="inlineStr"/>
      <c r="B594" s="9" t="inlineStr"/>
      <c r="C594" s="9" t="inlineStr"/>
      <c r="D594" s="9" t="inlineStr"/>
      <c r="E594" s="9" t="inlineStr"/>
      <c r="F594" s="9" t="inlineStr"/>
      <c r="G594" s="10" t="inlineStr"/>
      <c r="H594" s="9" t="inlineStr"/>
      <c r="I594" s="9" t="inlineStr"/>
      <c r="J594" s="10">
        <f>IF(G594="","",G594-I594)</f>
        <v/>
      </c>
      <c r="K594" s="9" t="inlineStr"/>
      <c r="L594" s="9" t="inlineStr"/>
      <c r="M594" s="9">
        <f>IF(D594="","",IF(L594="انجام شده","انجام شده",IF(L594="لغو شده","لغو شده",IF(G594&lt;TODAY(),"عقب‌افتاده",IF(G594=TODAY(),"امروز",IF(G594&lt;=TODAY()+7,"تا ۷ روز",IF(G594&lt;=TODAY()+15,"تا ۱۵ روز","آینده")))))))</f>
        <v/>
      </c>
      <c r="N594" s="9" t="inlineStr"/>
      <c r="O594" s="9" t="inlineStr"/>
      <c r="P594" s="10" t="inlineStr"/>
      <c r="Q594" s="9" t="inlineStr"/>
      <c r="R594" s="9" t="inlineStr"/>
      <c r="S594" s="9" t="inlineStr"/>
      <c r="T594" s="9" t="inlineStr"/>
    </row>
    <row r="595">
      <c r="A595" s="9" t="inlineStr"/>
      <c r="B595" s="9" t="inlineStr"/>
      <c r="C595" s="9" t="inlineStr"/>
      <c r="D595" s="9" t="inlineStr"/>
      <c r="E595" s="9" t="inlineStr"/>
      <c r="F595" s="9" t="inlineStr"/>
      <c r="G595" s="10" t="inlineStr"/>
      <c r="H595" s="9" t="inlineStr"/>
      <c r="I595" s="9" t="inlineStr"/>
      <c r="J595" s="10">
        <f>IF(G595="","",G595-I595)</f>
        <v/>
      </c>
      <c r="K595" s="9" t="inlineStr"/>
      <c r="L595" s="9" t="inlineStr"/>
      <c r="M595" s="9">
        <f>IF(D595="","",IF(L595="انجام شده","انجام شده",IF(L595="لغو شده","لغو شده",IF(G595&lt;TODAY(),"عقب‌افتاده",IF(G595=TODAY(),"امروز",IF(G595&lt;=TODAY()+7,"تا ۷ روز",IF(G595&lt;=TODAY()+15,"تا ۱۵ روز","آینده")))))))</f>
        <v/>
      </c>
      <c r="N595" s="9" t="inlineStr"/>
      <c r="O595" s="9" t="inlineStr"/>
      <c r="P595" s="10" t="inlineStr"/>
      <c r="Q595" s="9" t="inlineStr"/>
      <c r="R595" s="9" t="inlineStr"/>
      <c r="S595" s="9" t="inlineStr"/>
      <c r="T595" s="9" t="inlineStr"/>
    </row>
    <row r="596">
      <c r="A596" s="9" t="inlineStr"/>
      <c r="B596" s="9" t="inlineStr"/>
      <c r="C596" s="9" t="inlineStr"/>
      <c r="D596" s="9" t="inlineStr"/>
      <c r="E596" s="9" t="inlineStr"/>
      <c r="F596" s="9" t="inlineStr"/>
      <c r="G596" s="10" t="inlineStr"/>
      <c r="H596" s="9" t="inlineStr"/>
      <c r="I596" s="9" t="inlineStr"/>
      <c r="J596" s="10">
        <f>IF(G596="","",G596-I596)</f>
        <v/>
      </c>
      <c r="K596" s="9" t="inlineStr"/>
      <c r="L596" s="9" t="inlineStr"/>
      <c r="M596" s="9">
        <f>IF(D596="","",IF(L596="انجام شده","انجام شده",IF(L596="لغو شده","لغو شده",IF(G596&lt;TODAY(),"عقب‌افتاده",IF(G596=TODAY(),"امروز",IF(G596&lt;=TODAY()+7,"تا ۷ روز",IF(G596&lt;=TODAY()+15,"تا ۱۵ روز","آینده")))))))</f>
        <v/>
      </c>
      <c r="N596" s="9" t="inlineStr"/>
      <c r="O596" s="9" t="inlineStr"/>
      <c r="P596" s="10" t="inlineStr"/>
      <c r="Q596" s="9" t="inlineStr"/>
      <c r="R596" s="9" t="inlineStr"/>
      <c r="S596" s="9" t="inlineStr"/>
      <c r="T596" s="9" t="inlineStr"/>
    </row>
    <row r="597">
      <c r="A597" s="9" t="inlineStr"/>
      <c r="B597" s="9" t="inlineStr"/>
      <c r="C597" s="9" t="inlineStr"/>
      <c r="D597" s="9" t="inlineStr"/>
      <c r="E597" s="9" t="inlineStr"/>
      <c r="F597" s="9" t="inlineStr"/>
      <c r="G597" s="10" t="inlineStr"/>
      <c r="H597" s="9" t="inlineStr"/>
      <c r="I597" s="9" t="inlineStr"/>
      <c r="J597" s="10">
        <f>IF(G597="","",G597-I597)</f>
        <v/>
      </c>
      <c r="K597" s="9" t="inlineStr"/>
      <c r="L597" s="9" t="inlineStr"/>
      <c r="M597" s="9">
        <f>IF(D597="","",IF(L597="انجام شده","انجام شده",IF(L597="لغو شده","لغو شده",IF(G597&lt;TODAY(),"عقب‌افتاده",IF(G597=TODAY(),"امروز",IF(G597&lt;=TODAY()+7,"تا ۷ روز",IF(G597&lt;=TODAY()+15,"تا ۱۵ روز","آینده")))))))</f>
        <v/>
      </c>
      <c r="N597" s="9" t="inlineStr"/>
      <c r="O597" s="9" t="inlineStr"/>
      <c r="P597" s="10" t="inlineStr"/>
      <c r="Q597" s="9" t="inlineStr"/>
      <c r="R597" s="9" t="inlineStr"/>
      <c r="S597" s="9" t="inlineStr"/>
      <c r="T597" s="9" t="inlineStr"/>
    </row>
    <row r="598">
      <c r="A598" s="9" t="inlineStr"/>
      <c r="B598" s="9" t="inlineStr"/>
      <c r="C598" s="9" t="inlineStr"/>
      <c r="D598" s="9" t="inlineStr"/>
      <c r="E598" s="9" t="inlineStr"/>
      <c r="F598" s="9" t="inlineStr"/>
      <c r="G598" s="10" t="inlineStr"/>
      <c r="H598" s="9" t="inlineStr"/>
      <c r="I598" s="9" t="inlineStr"/>
      <c r="J598" s="10">
        <f>IF(G598="","",G598-I598)</f>
        <v/>
      </c>
      <c r="K598" s="9" t="inlineStr"/>
      <c r="L598" s="9" t="inlineStr"/>
      <c r="M598" s="9">
        <f>IF(D598="","",IF(L598="انجام شده","انجام شده",IF(L598="لغو شده","لغو شده",IF(G598&lt;TODAY(),"عقب‌افتاده",IF(G598=TODAY(),"امروز",IF(G598&lt;=TODAY()+7,"تا ۷ روز",IF(G598&lt;=TODAY()+15,"تا ۱۵ روز","آینده")))))))</f>
        <v/>
      </c>
      <c r="N598" s="9" t="inlineStr"/>
      <c r="O598" s="9" t="inlineStr"/>
      <c r="P598" s="10" t="inlineStr"/>
      <c r="Q598" s="9" t="inlineStr"/>
      <c r="R598" s="9" t="inlineStr"/>
      <c r="S598" s="9" t="inlineStr"/>
      <c r="T598" s="9" t="inlineStr"/>
    </row>
    <row r="599">
      <c r="A599" s="9" t="inlineStr"/>
      <c r="B599" s="9" t="inlineStr"/>
      <c r="C599" s="9" t="inlineStr"/>
      <c r="D599" s="9" t="inlineStr"/>
      <c r="E599" s="9" t="inlineStr"/>
      <c r="F599" s="9" t="inlineStr"/>
      <c r="G599" s="10" t="inlineStr"/>
      <c r="H599" s="9" t="inlineStr"/>
      <c r="I599" s="9" t="inlineStr"/>
      <c r="J599" s="10">
        <f>IF(G599="","",G599-I599)</f>
        <v/>
      </c>
      <c r="K599" s="9" t="inlineStr"/>
      <c r="L599" s="9" t="inlineStr"/>
      <c r="M599" s="9">
        <f>IF(D599="","",IF(L599="انجام شده","انجام شده",IF(L599="لغو شده","لغو شده",IF(G599&lt;TODAY(),"عقب‌افتاده",IF(G599=TODAY(),"امروز",IF(G599&lt;=TODAY()+7,"تا ۷ روز",IF(G599&lt;=TODAY()+15,"تا ۱۵ روز","آینده")))))))</f>
        <v/>
      </c>
      <c r="N599" s="9" t="inlineStr"/>
      <c r="O599" s="9" t="inlineStr"/>
      <c r="P599" s="10" t="inlineStr"/>
      <c r="Q599" s="9" t="inlineStr"/>
      <c r="R599" s="9" t="inlineStr"/>
      <c r="S599" s="9" t="inlineStr"/>
      <c r="T599" s="9" t="inlineStr"/>
    </row>
    <row r="600">
      <c r="A600" s="9" t="inlineStr"/>
      <c r="B600" s="9" t="inlineStr"/>
      <c r="C600" s="9" t="inlineStr"/>
      <c r="D600" s="9" t="inlineStr"/>
      <c r="E600" s="9" t="inlineStr"/>
      <c r="F600" s="9" t="inlineStr"/>
      <c r="G600" s="10" t="inlineStr"/>
      <c r="H600" s="9" t="inlineStr"/>
      <c r="I600" s="9" t="inlineStr"/>
      <c r="J600" s="10">
        <f>IF(G600="","",G600-I600)</f>
        <v/>
      </c>
      <c r="K600" s="9" t="inlineStr"/>
      <c r="L600" s="9" t="inlineStr"/>
      <c r="M600" s="9">
        <f>IF(D600="","",IF(L600="انجام شده","انجام شده",IF(L600="لغو شده","لغو شده",IF(G600&lt;TODAY(),"عقب‌افتاده",IF(G600=TODAY(),"امروز",IF(G600&lt;=TODAY()+7,"تا ۷ روز",IF(G600&lt;=TODAY()+15,"تا ۱۵ روز","آینده")))))))</f>
        <v/>
      </c>
      <c r="N600" s="9" t="inlineStr"/>
      <c r="O600" s="9" t="inlineStr"/>
      <c r="P600" s="10" t="inlineStr"/>
      <c r="Q600" s="9" t="inlineStr"/>
      <c r="R600" s="9" t="inlineStr"/>
      <c r="S600" s="9" t="inlineStr"/>
      <c r="T600" s="9" t="inlineStr"/>
    </row>
    <row r="601">
      <c r="A601" s="9" t="inlineStr"/>
      <c r="B601" s="9" t="inlineStr"/>
      <c r="C601" s="9" t="inlineStr"/>
      <c r="D601" s="9" t="inlineStr"/>
      <c r="E601" s="9" t="inlineStr"/>
      <c r="F601" s="9" t="inlineStr"/>
      <c r="G601" s="10" t="inlineStr"/>
      <c r="H601" s="9" t="inlineStr"/>
      <c r="I601" s="9" t="inlineStr"/>
      <c r="J601" s="10">
        <f>IF(G601="","",G601-I601)</f>
        <v/>
      </c>
      <c r="K601" s="9" t="inlineStr"/>
      <c r="L601" s="9" t="inlineStr"/>
      <c r="M601" s="9">
        <f>IF(D601="","",IF(L601="انجام شده","انجام شده",IF(L601="لغو شده","لغو شده",IF(G601&lt;TODAY(),"عقب‌افتاده",IF(G601=TODAY(),"امروز",IF(G601&lt;=TODAY()+7,"تا ۷ روز",IF(G601&lt;=TODAY()+15,"تا ۱۵ روز","آینده")))))))</f>
        <v/>
      </c>
      <c r="N601" s="9" t="inlineStr"/>
      <c r="O601" s="9" t="inlineStr"/>
      <c r="P601" s="10" t="inlineStr"/>
      <c r="Q601" s="9" t="inlineStr"/>
      <c r="R601" s="9" t="inlineStr"/>
      <c r="S601" s="9" t="inlineStr"/>
      <c r="T601" s="9" t="inlineStr"/>
    </row>
    <row r="602">
      <c r="A602" s="9" t="inlineStr"/>
      <c r="B602" s="9" t="inlineStr"/>
      <c r="C602" s="9" t="inlineStr"/>
      <c r="D602" s="9" t="inlineStr"/>
      <c r="E602" s="9" t="inlineStr"/>
      <c r="F602" s="9" t="inlineStr"/>
      <c r="G602" s="10" t="inlineStr"/>
      <c r="H602" s="9" t="inlineStr"/>
      <c r="I602" s="9" t="inlineStr"/>
      <c r="J602" s="10">
        <f>IF(G602="","",G602-I602)</f>
        <v/>
      </c>
      <c r="K602" s="9" t="inlineStr"/>
      <c r="L602" s="9" t="inlineStr"/>
      <c r="M602" s="9">
        <f>IF(D602="","",IF(L602="انجام شده","انجام شده",IF(L602="لغو شده","لغو شده",IF(G602&lt;TODAY(),"عقب‌افتاده",IF(G602=TODAY(),"امروز",IF(G602&lt;=TODAY()+7,"تا ۷ روز",IF(G602&lt;=TODAY()+15,"تا ۱۵ روز","آینده")))))))</f>
        <v/>
      </c>
      <c r="N602" s="9" t="inlineStr"/>
      <c r="O602" s="9" t="inlineStr"/>
      <c r="P602" s="10" t="inlineStr"/>
      <c r="Q602" s="9" t="inlineStr"/>
      <c r="R602" s="9" t="inlineStr"/>
      <c r="S602" s="9" t="inlineStr"/>
      <c r="T602" s="9" t="inlineStr"/>
    </row>
    <row r="603">
      <c r="A603" s="9" t="inlineStr"/>
      <c r="B603" s="9" t="inlineStr"/>
      <c r="C603" s="9" t="inlineStr"/>
      <c r="D603" s="9" t="inlineStr"/>
      <c r="E603" s="9" t="inlineStr"/>
      <c r="F603" s="9" t="inlineStr"/>
      <c r="G603" s="10" t="inlineStr"/>
      <c r="H603" s="9" t="inlineStr"/>
      <c r="I603" s="9" t="inlineStr"/>
      <c r="J603" s="10">
        <f>IF(G603="","",G603-I603)</f>
        <v/>
      </c>
      <c r="K603" s="9" t="inlineStr"/>
      <c r="L603" s="9" t="inlineStr"/>
      <c r="M603" s="9">
        <f>IF(D603="","",IF(L603="انجام شده","انجام شده",IF(L603="لغو شده","لغو شده",IF(G603&lt;TODAY(),"عقب‌افتاده",IF(G603=TODAY(),"امروز",IF(G603&lt;=TODAY()+7,"تا ۷ روز",IF(G603&lt;=TODAY()+15,"تا ۱۵ روز","آینده")))))))</f>
        <v/>
      </c>
      <c r="N603" s="9" t="inlineStr"/>
      <c r="O603" s="9" t="inlineStr"/>
      <c r="P603" s="10" t="inlineStr"/>
      <c r="Q603" s="9" t="inlineStr"/>
      <c r="R603" s="9" t="inlineStr"/>
      <c r="S603" s="9" t="inlineStr"/>
      <c r="T603" s="9" t="inlineStr"/>
    </row>
    <row r="604">
      <c r="A604" s="9" t="inlineStr"/>
      <c r="B604" s="9" t="inlineStr"/>
      <c r="C604" s="9" t="inlineStr"/>
      <c r="D604" s="9" t="inlineStr"/>
      <c r="E604" s="9" t="inlineStr"/>
      <c r="F604" s="9" t="inlineStr"/>
      <c r="G604" s="10" t="inlineStr"/>
      <c r="H604" s="9" t="inlineStr"/>
      <c r="I604" s="9" t="inlineStr"/>
      <c r="J604" s="10">
        <f>IF(G604="","",G604-I604)</f>
        <v/>
      </c>
      <c r="K604" s="9" t="inlineStr"/>
      <c r="L604" s="9" t="inlineStr"/>
      <c r="M604" s="9">
        <f>IF(D604="","",IF(L604="انجام شده","انجام شده",IF(L604="لغو شده","لغو شده",IF(G604&lt;TODAY(),"عقب‌افتاده",IF(G604=TODAY(),"امروز",IF(G604&lt;=TODAY()+7,"تا ۷ روز",IF(G604&lt;=TODAY()+15,"تا ۱۵ روز","آینده")))))))</f>
        <v/>
      </c>
      <c r="N604" s="9" t="inlineStr"/>
      <c r="O604" s="9" t="inlineStr"/>
      <c r="P604" s="10" t="inlineStr"/>
      <c r="Q604" s="9" t="inlineStr"/>
      <c r="R604" s="9" t="inlineStr"/>
      <c r="S604" s="9" t="inlineStr"/>
      <c r="T604" s="9" t="inlineStr"/>
    </row>
    <row r="605">
      <c r="A605" s="9" t="inlineStr"/>
      <c r="B605" s="9" t="inlineStr"/>
      <c r="C605" s="9" t="inlineStr"/>
      <c r="D605" s="9" t="inlineStr"/>
      <c r="E605" s="9" t="inlineStr"/>
      <c r="F605" s="9" t="inlineStr"/>
      <c r="G605" s="10" t="inlineStr"/>
      <c r="H605" s="9" t="inlineStr"/>
      <c r="I605" s="9" t="inlineStr"/>
      <c r="J605" s="10">
        <f>IF(G605="","",G605-I605)</f>
        <v/>
      </c>
      <c r="K605" s="9" t="inlineStr"/>
      <c r="L605" s="9" t="inlineStr"/>
      <c r="M605" s="9">
        <f>IF(D605="","",IF(L605="انجام شده","انجام شده",IF(L605="لغو شده","لغو شده",IF(G605&lt;TODAY(),"عقب‌افتاده",IF(G605=TODAY(),"امروز",IF(G605&lt;=TODAY()+7,"تا ۷ روز",IF(G605&lt;=TODAY()+15,"تا ۱۵ روز","آینده")))))))</f>
        <v/>
      </c>
      <c r="N605" s="9" t="inlineStr"/>
      <c r="O605" s="9" t="inlineStr"/>
      <c r="P605" s="10" t="inlineStr"/>
      <c r="Q605" s="9" t="inlineStr"/>
      <c r="R605" s="9" t="inlineStr"/>
      <c r="S605" s="9" t="inlineStr"/>
      <c r="T605" s="9" t="inlineStr"/>
    </row>
    <row r="606">
      <c r="A606" s="9" t="inlineStr"/>
      <c r="B606" s="9" t="inlineStr"/>
      <c r="C606" s="9" t="inlineStr"/>
      <c r="D606" s="9" t="inlineStr"/>
      <c r="E606" s="9" t="inlineStr"/>
      <c r="F606" s="9" t="inlineStr"/>
      <c r="G606" s="10" t="inlineStr"/>
      <c r="H606" s="9" t="inlineStr"/>
      <c r="I606" s="9" t="inlineStr"/>
      <c r="J606" s="10">
        <f>IF(G606="","",G606-I606)</f>
        <v/>
      </c>
      <c r="K606" s="9" t="inlineStr"/>
      <c r="L606" s="9" t="inlineStr"/>
      <c r="M606" s="9">
        <f>IF(D606="","",IF(L606="انجام شده","انجام شده",IF(L606="لغو شده","لغو شده",IF(G606&lt;TODAY(),"عقب‌افتاده",IF(G606=TODAY(),"امروز",IF(G606&lt;=TODAY()+7,"تا ۷ روز",IF(G606&lt;=TODAY()+15,"تا ۱۵ روز","آینده")))))))</f>
        <v/>
      </c>
      <c r="N606" s="9" t="inlineStr"/>
      <c r="O606" s="9" t="inlineStr"/>
      <c r="P606" s="10" t="inlineStr"/>
      <c r="Q606" s="9" t="inlineStr"/>
      <c r="R606" s="9" t="inlineStr"/>
      <c r="S606" s="9" t="inlineStr"/>
      <c r="T606" s="9" t="inlineStr"/>
    </row>
    <row r="607">
      <c r="A607" s="9" t="inlineStr"/>
      <c r="B607" s="9" t="inlineStr"/>
      <c r="C607" s="9" t="inlineStr"/>
      <c r="D607" s="9" t="inlineStr"/>
      <c r="E607" s="9" t="inlineStr"/>
      <c r="F607" s="9" t="inlineStr"/>
      <c r="G607" s="10" t="inlineStr"/>
      <c r="H607" s="9" t="inlineStr"/>
      <c r="I607" s="9" t="inlineStr"/>
      <c r="J607" s="10">
        <f>IF(G607="","",G607-I607)</f>
        <v/>
      </c>
      <c r="K607" s="9" t="inlineStr"/>
      <c r="L607" s="9" t="inlineStr"/>
      <c r="M607" s="9">
        <f>IF(D607="","",IF(L607="انجام شده","انجام شده",IF(L607="لغو شده","لغو شده",IF(G607&lt;TODAY(),"عقب‌افتاده",IF(G607=TODAY(),"امروز",IF(G607&lt;=TODAY()+7,"تا ۷ روز",IF(G607&lt;=TODAY()+15,"تا ۱۵ روز","آینده")))))))</f>
        <v/>
      </c>
      <c r="N607" s="9" t="inlineStr"/>
      <c r="O607" s="9" t="inlineStr"/>
      <c r="P607" s="10" t="inlineStr"/>
      <c r="Q607" s="9" t="inlineStr"/>
      <c r="R607" s="9" t="inlineStr"/>
      <c r="S607" s="9" t="inlineStr"/>
      <c r="T607" s="9" t="inlineStr"/>
    </row>
    <row r="608">
      <c r="A608" s="9" t="inlineStr"/>
      <c r="B608" s="9" t="inlineStr"/>
      <c r="C608" s="9" t="inlineStr"/>
      <c r="D608" s="9" t="inlineStr"/>
      <c r="E608" s="9" t="inlineStr"/>
      <c r="F608" s="9" t="inlineStr"/>
      <c r="G608" s="10" t="inlineStr"/>
      <c r="H608" s="9" t="inlineStr"/>
      <c r="I608" s="9" t="inlineStr"/>
      <c r="J608" s="10">
        <f>IF(G608="","",G608-I608)</f>
        <v/>
      </c>
      <c r="K608" s="9" t="inlineStr"/>
      <c r="L608" s="9" t="inlineStr"/>
      <c r="M608" s="9">
        <f>IF(D608="","",IF(L608="انجام شده","انجام شده",IF(L608="لغو شده","لغو شده",IF(G608&lt;TODAY(),"عقب‌افتاده",IF(G608=TODAY(),"امروز",IF(G608&lt;=TODAY()+7,"تا ۷ روز",IF(G608&lt;=TODAY()+15,"تا ۱۵ روز","آینده")))))))</f>
        <v/>
      </c>
      <c r="N608" s="9" t="inlineStr"/>
      <c r="O608" s="9" t="inlineStr"/>
      <c r="P608" s="10" t="inlineStr"/>
      <c r="Q608" s="9" t="inlineStr"/>
      <c r="R608" s="9" t="inlineStr"/>
      <c r="S608" s="9" t="inlineStr"/>
      <c r="T608" s="9" t="inlineStr"/>
    </row>
    <row r="609">
      <c r="A609" s="9" t="inlineStr"/>
      <c r="B609" s="9" t="inlineStr"/>
      <c r="C609" s="9" t="inlineStr"/>
      <c r="D609" s="9" t="inlineStr"/>
      <c r="E609" s="9" t="inlineStr"/>
      <c r="F609" s="9" t="inlineStr"/>
      <c r="G609" s="10" t="inlineStr"/>
      <c r="H609" s="9" t="inlineStr"/>
      <c r="I609" s="9" t="inlineStr"/>
      <c r="J609" s="10">
        <f>IF(G609="","",G609-I609)</f>
        <v/>
      </c>
      <c r="K609" s="9" t="inlineStr"/>
      <c r="L609" s="9" t="inlineStr"/>
      <c r="M609" s="9">
        <f>IF(D609="","",IF(L609="انجام شده","انجام شده",IF(L609="لغو شده","لغو شده",IF(G609&lt;TODAY(),"عقب‌افتاده",IF(G609=TODAY(),"امروز",IF(G609&lt;=TODAY()+7,"تا ۷ روز",IF(G609&lt;=TODAY()+15,"تا ۱۵ روز","آینده")))))))</f>
        <v/>
      </c>
      <c r="N609" s="9" t="inlineStr"/>
      <c r="O609" s="9" t="inlineStr"/>
      <c r="P609" s="10" t="inlineStr"/>
      <c r="Q609" s="9" t="inlineStr"/>
      <c r="R609" s="9" t="inlineStr"/>
      <c r="S609" s="9" t="inlineStr"/>
      <c r="T609" s="9" t="inlineStr"/>
    </row>
    <row r="610">
      <c r="A610" s="9" t="inlineStr"/>
      <c r="B610" s="9" t="inlineStr"/>
      <c r="C610" s="9" t="inlineStr"/>
      <c r="D610" s="9" t="inlineStr"/>
      <c r="E610" s="9" t="inlineStr"/>
      <c r="F610" s="9" t="inlineStr"/>
      <c r="G610" s="10" t="inlineStr"/>
      <c r="H610" s="9" t="inlineStr"/>
      <c r="I610" s="9" t="inlineStr"/>
      <c r="J610" s="10">
        <f>IF(G610="","",G610-I610)</f>
        <v/>
      </c>
      <c r="K610" s="9" t="inlineStr"/>
      <c r="L610" s="9" t="inlineStr"/>
      <c r="M610" s="9">
        <f>IF(D610="","",IF(L610="انجام شده","انجام شده",IF(L610="لغو شده","لغو شده",IF(G610&lt;TODAY(),"عقب‌افتاده",IF(G610=TODAY(),"امروز",IF(G610&lt;=TODAY()+7,"تا ۷ روز",IF(G610&lt;=TODAY()+15,"تا ۱۵ روز","آینده")))))))</f>
        <v/>
      </c>
      <c r="N610" s="9" t="inlineStr"/>
      <c r="O610" s="9" t="inlineStr"/>
      <c r="P610" s="10" t="inlineStr"/>
      <c r="Q610" s="9" t="inlineStr"/>
      <c r="R610" s="9" t="inlineStr"/>
      <c r="S610" s="9" t="inlineStr"/>
      <c r="T610" s="9" t="inlineStr"/>
    </row>
    <row r="611">
      <c r="A611" s="9" t="inlineStr"/>
      <c r="B611" s="9" t="inlineStr"/>
      <c r="C611" s="9" t="inlineStr"/>
      <c r="D611" s="9" t="inlineStr"/>
      <c r="E611" s="9" t="inlineStr"/>
      <c r="F611" s="9" t="inlineStr"/>
      <c r="G611" s="10" t="inlineStr"/>
      <c r="H611" s="9" t="inlineStr"/>
      <c r="I611" s="9" t="inlineStr"/>
      <c r="J611" s="10">
        <f>IF(G611="","",G611-I611)</f>
        <v/>
      </c>
      <c r="K611" s="9" t="inlineStr"/>
      <c r="L611" s="9" t="inlineStr"/>
      <c r="M611" s="9">
        <f>IF(D611="","",IF(L611="انجام شده","انجام شده",IF(L611="لغو شده","لغو شده",IF(G611&lt;TODAY(),"عقب‌افتاده",IF(G611=TODAY(),"امروز",IF(G611&lt;=TODAY()+7,"تا ۷ روز",IF(G611&lt;=TODAY()+15,"تا ۱۵ روز","آینده")))))))</f>
        <v/>
      </c>
      <c r="N611" s="9" t="inlineStr"/>
      <c r="O611" s="9" t="inlineStr"/>
      <c r="P611" s="10" t="inlineStr"/>
      <c r="Q611" s="9" t="inlineStr"/>
      <c r="R611" s="9" t="inlineStr"/>
      <c r="S611" s="9" t="inlineStr"/>
      <c r="T611" s="9" t="inlineStr"/>
    </row>
    <row r="612">
      <c r="A612" s="9" t="inlineStr"/>
      <c r="B612" s="9" t="inlineStr"/>
      <c r="C612" s="9" t="inlineStr"/>
      <c r="D612" s="9" t="inlineStr"/>
      <c r="E612" s="9" t="inlineStr"/>
      <c r="F612" s="9" t="inlineStr"/>
      <c r="G612" s="10" t="inlineStr"/>
      <c r="H612" s="9" t="inlineStr"/>
      <c r="I612" s="9" t="inlineStr"/>
      <c r="J612" s="10">
        <f>IF(G612="","",G612-I612)</f>
        <v/>
      </c>
      <c r="K612" s="9" t="inlineStr"/>
      <c r="L612" s="9" t="inlineStr"/>
      <c r="M612" s="9">
        <f>IF(D612="","",IF(L612="انجام شده","انجام شده",IF(L612="لغو شده","لغو شده",IF(G612&lt;TODAY(),"عقب‌افتاده",IF(G612=TODAY(),"امروز",IF(G612&lt;=TODAY()+7,"تا ۷ روز",IF(G612&lt;=TODAY()+15,"تا ۱۵ روز","آینده")))))))</f>
        <v/>
      </c>
      <c r="N612" s="9" t="inlineStr"/>
      <c r="O612" s="9" t="inlineStr"/>
      <c r="P612" s="10" t="inlineStr"/>
      <c r="Q612" s="9" t="inlineStr"/>
      <c r="R612" s="9" t="inlineStr"/>
      <c r="S612" s="9" t="inlineStr"/>
      <c r="T612" s="9" t="inlineStr"/>
    </row>
    <row r="613">
      <c r="A613" s="9" t="inlineStr"/>
      <c r="B613" s="9" t="inlineStr"/>
      <c r="C613" s="9" t="inlineStr"/>
      <c r="D613" s="9" t="inlineStr"/>
      <c r="E613" s="9" t="inlineStr"/>
      <c r="F613" s="9" t="inlineStr"/>
      <c r="G613" s="10" t="inlineStr"/>
      <c r="H613" s="9" t="inlineStr"/>
      <c r="I613" s="9" t="inlineStr"/>
      <c r="J613" s="10">
        <f>IF(G613="","",G613-I613)</f>
        <v/>
      </c>
      <c r="K613" s="9" t="inlineStr"/>
      <c r="L613" s="9" t="inlineStr"/>
      <c r="M613" s="9">
        <f>IF(D613="","",IF(L613="انجام شده","انجام شده",IF(L613="لغو شده","لغو شده",IF(G613&lt;TODAY(),"عقب‌افتاده",IF(G613=TODAY(),"امروز",IF(G613&lt;=TODAY()+7,"تا ۷ روز",IF(G613&lt;=TODAY()+15,"تا ۱۵ روز","آینده")))))))</f>
        <v/>
      </c>
      <c r="N613" s="9" t="inlineStr"/>
      <c r="O613" s="9" t="inlineStr"/>
      <c r="P613" s="10" t="inlineStr"/>
      <c r="Q613" s="9" t="inlineStr"/>
      <c r="R613" s="9" t="inlineStr"/>
      <c r="S613" s="9" t="inlineStr"/>
      <c r="T613" s="9" t="inlineStr"/>
    </row>
    <row r="614">
      <c r="A614" s="9" t="inlineStr"/>
      <c r="B614" s="9" t="inlineStr"/>
      <c r="C614" s="9" t="inlineStr"/>
      <c r="D614" s="9" t="inlineStr"/>
      <c r="E614" s="9" t="inlineStr"/>
      <c r="F614" s="9" t="inlineStr"/>
      <c r="G614" s="10" t="inlineStr"/>
      <c r="H614" s="9" t="inlineStr"/>
      <c r="I614" s="9" t="inlineStr"/>
      <c r="J614" s="10">
        <f>IF(G614="","",G614-I614)</f>
        <v/>
      </c>
      <c r="K614" s="9" t="inlineStr"/>
      <c r="L614" s="9" t="inlineStr"/>
      <c r="M614" s="9">
        <f>IF(D614="","",IF(L614="انجام شده","انجام شده",IF(L614="لغو شده","لغو شده",IF(G614&lt;TODAY(),"عقب‌افتاده",IF(G614=TODAY(),"امروز",IF(G614&lt;=TODAY()+7,"تا ۷ روز",IF(G614&lt;=TODAY()+15,"تا ۱۵ روز","آینده")))))))</f>
        <v/>
      </c>
      <c r="N614" s="9" t="inlineStr"/>
      <c r="O614" s="9" t="inlineStr"/>
      <c r="P614" s="10" t="inlineStr"/>
      <c r="Q614" s="9" t="inlineStr"/>
      <c r="R614" s="9" t="inlineStr"/>
      <c r="S614" s="9" t="inlineStr"/>
      <c r="T614" s="9" t="inlineStr"/>
    </row>
    <row r="615">
      <c r="A615" s="9" t="inlineStr"/>
      <c r="B615" s="9" t="inlineStr"/>
      <c r="C615" s="9" t="inlineStr"/>
      <c r="D615" s="9" t="inlineStr"/>
      <c r="E615" s="9" t="inlineStr"/>
      <c r="F615" s="9" t="inlineStr"/>
      <c r="G615" s="10" t="inlineStr"/>
      <c r="H615" s="9" t="inlineStr"/>
      <c r="I615" s="9" t="inlineStr"/>
      <c r="J615" s="10">
        <f>IF(G615="","",G615-I615)</f>
        <v/>
      </c>
      <c r="K615" s="9" t="inlineStr"/>
      <c r="L615" s="9" t="inlineStr"/>
      <c r="M615" s="9">
        <f>IF(D615="","",IF(L615="انجام شده","انجام شده",IF(L615="لغو شده","لغو شده",IF(G615&lt;TODAY(),"عقب‌افتاده",IF(G615=TODAY(),"امروز",IF(G615&lt;=TODAY()+7,"تا ۷ روز",IF(G615&lt;=TODAY()+15,"تا ۱۵ روز","آینده")))))))</f>
        <v/>
      </c>
      <c r="N615" s="9" t="inlineStr"/>
      <c r="O615" s="9" t="inlineStr"/>
      <c r="P615" s="10" t="inlineStr"/>
      <c r="Q615" s="9" t="inlineStr"/>
      <c r="R615" s="9" t="inlineStr"/>
      <c r="S615" s="9" t="inlineStr"/>
      <c r="T615" s="9" t="inlineStr"/>
    </row>
    <row r="616">
      <c r="A616" s="9" t="inlineStr"/>
      <c r="B616" s="9" t="inlineStr"/>
      <c r="C616" s="9" t="inlineStr"/>
      <c r="D616" s="9" t="inlineStr"/>
      <c r="E616" s="9" t="inlineStr"/>
      <c r="F616" s="9" t="inlineStr"/>
      <c r="G616" s="10" t="inlineStr"/>
      <c r="H616" s="9" t="inlineStr"/>
      <c r="I616" s="9" t="inlineStr"/>
      <c r="J616" s="10">
        <f>IF(G616="","",G616-I616)</f>
        <v/>
      </c>
      <c r="K616" s="9" t="inlineStr"/>
      <c r="L616" s="9" t="inlineStr"/>
      <c r="M616" s="9">
        <f>IF(D616="","",IF(L616="انجام شده","انجام شده",IF(L616="لغو شده","لغو شده",IF(G616&lt;TODAY(),"عقب‌افتاده",IF(G616=TODAY(),"امروز",IF(G616&lt;=TODAY()+7,"تا ۷ روز",IF(G616&lt;=TODAY()+15,"تا ۱۵ روز","آینده")))))))</f>
        <v/>
      </c>
      <c r="N616" s="9" t="inlineStr"/>
      <c r="O616" s="9" t="inlineStr"/>
      <c r="P616" s="10" t="inlineStr"/>
      <c r="Q616" s="9" t="inlineStr"/>
      <c r="R616" s="9" t="inlineStr"/>
      <c r="S616" s="9" t="inlineStr"/>
      <c r="T616" s="9" t="inlineStr"/>
    </row>
    <row r="617">
      <c r="A617" s="9" t="inlineStr"/>
      <c r="B617" s="9" t="inlineStr"/>
      <c r="C617" s="9" t="inlineStr"/>
      <c r="D617" s="9" t="inlineStr"/>
      <c r="E617" s="9" t="inlineStr"/>
      <c r="F617" s="9" t="inlineStr"/>
      <c r="G617" s="10" t="inlineStr"/>
      <c r="H617" s="9" t="inlineStr"/>
      <c r="I617" s="9" t="inlineStr"/>
      <c r="J617" s="10">
        <f>IF(G617="","",G617-I617)</f>
        <v/>
      </c>
      <c r="K617" s="9" t="inlineStr"/>
      <c r="L617" s="9" t="inlineStr"/>
      <c r="M617" s="9">
        <f>IF(D617="","",IF(L617="انجام شده","انجام شده",IF(L617="لغو شده","لغو شده",IF(G617&lt;TODAY(),"عقب‌افتاده",IF(G617=TODAY(),"امروز",IF(G617&lt;=TODAY()+7,"تا ۷ روز",IF(G617&lt;=TODAY()+15,"تا ۱۵ روز","آینده")))))))</f>
        <v/>
      </c>
      <c r="N617" s="9" t="inlineStr"/>
      <c r="O617" s="9" t="inlineStr"/>
      <c r="P617" s="10" t="inlineStr"/>
      <c r="Q617" s="9" t="inlineStr"/>
      <c r="R617" s="9" t="inlineStr"/>
      <c r="S617" s="9" t="inlineStr"/>
      <c r="T617" s="9" t="inlineStr"/>
    </row>
    <row r="618">
      <c r="A618" s="9" t="inlineStr"/>
      <c r="B618" s="9" t="inlineStr"/>
      <c r="C618" s="9" t="inlineStr"/>
      <c r="D618" s="9" t="inlineStr"/>
      <c r="E618" s="9" t="inlineStr"/>
      <c r="F618" s="9" t="inlineStr"/>
      <c r="G618" s="10" t="inlineStr"/>
      <c r="H618" s="9" t="inlineStr"/>
      <c r="I618" s="9" t="inlineStr"/>
      <c r="J618" s="10">
        <f>IF(G618="","",G618-I618)</f>
        <v/>
      </c>
      <c r="K618" s="9" t="inlineStr"/>
      <c r="L618" s="9" t="inlineStr"/>
      <c r="M618" s="9">
        <f>IF(D618="","",IF(L618="انجام شده","انجام شده",IF(L618="لغو شده","لغو شده",IF(G618&lt;TODAY(),"عقب‌افتاده",IF(G618=TODAY(),"امروز",IF(G618&lt;=TODAY()+7,"تا ۷ روز",IF(G618&lt;=TODAY()+15,"تا ۱۵ روز","آینده")))))))</f>
        <v/>
      </c>
      <c r="N618" s="9" t="inlineStr"/>
      <c r="O618" s="9" t="inlineStr"/>
      <c r="P618" s="10" t="inlineStr"/>
      <c r="Q618" s="9" t="inlineStr"/>
      <c r="R618" s="9" t="inlineStr"/>
      <c r="S618" s="9" t="inlineStr"/>
      <c r="T618" s="9" t="inlineStr"/>
    </row>
    <row r="619">
      <c r="A619" s="9" t="inlineStr"/>
      <c r="B619" s="9" t="inlineStr"/>
      <c r="C619" s="9" t="inlineStr"/>
      <c r="D619" s="9" t="inlineStr"/>
      <c r="E619" s="9" t="inlineStr"/>
      <c r="F619" s="9" t="inlineStr"/>
      <c r="G619" s="10" t="inlineStr"/>
      <c r="H619" s="9" t="inlineStr"/>
      <c r="I619" s="9" t="inlineStr"/>
      <c r="J619" s="10">
        <f>IF(G619="","",G619-I619)</f>
        <v/>
      </c>
      <c r="K619" s="9" t="inlineStr"/>
      <c r="L619" s="9" t="inlineStr"/>
      <c r="M619" s="9">
        <f>IF(D619="","",IF(L619="انجام شده","انجام شده",IF(L619="لغو شده","لغو شده",IF(G619&lt;TODAY(),"عقب‌افتاده",IF(G619=TODAY(),"امروز",IF(G619&lt;=TODAY()+7,"تا ۷ روز",IF(G619&lt;=TODAY()+15,"تا ۱۵ روز","آینده")))))))</f>
        <v/>
      </c>
      <c r="N619" s="9" t="inlineStr"/>
      <c r="O619" s="9" t="inlineStr"/>
      <c r="P619" s="10" t="inlineStr"/>
      <c r="Q619" s="9" t="inlineStr"/>
      <c r="R619" s="9" t="inlineStr"/>
      <c r="S619" s="9" t="inlineStr"/>
      <c r="T619" s="9" t="inlineStr"/>
    </row>
    <row r="620">
      <c r="A620" s="9" t="inlineStr"/>
      <c r="B620" s="9" t="inlineStr"/>
      <c r="C620" s="9" t="inlineStr"/>
      <c r="D620" s="9" t="inlineStr"/>
      <c r="E620" s="9" t="inlineStr"/>
      <c r="F620" s="9" t="inlineStr"/>
      <c r="G620" s="10" t="inlineStr"/>
      <c r="H620" s="9" t="inlineStr"/>
      <c r="I620" s="9" t="inlineStr"/>
      <c r="J620" s="10">
        <f>IF(G620="","",G620-I620)</f>
        <v/>
      </c>
      <c r="K620" s="9" t="inlineStr"/>
      <c r="L620" s="9" t="inlineStr"/>
      <c r="M620" s="9">
        <f>IF(D620="","",IF(L620="انجام شده","انجام شده",IF(L620="لغو شده","لغو شده",IF(G620&lt;TODAY(),"عقب‌افتاده",IF(G620=TODAY(),"امروز",IF(G620&lt;=TODAY()+7,"تا ۷ روز",IF(G620&lt;=TODAY()+15,"تا ۱۵ روز","آینده")))))))</f>
        <v/>
      </c>
      <c r="N620" s="9" t="inlineStr"/>
      <c r="O620" s="9" t="inlineStr"/>
      <c r="P620" s="10" t="inlineStr"/>
      <c r="Q620" s="9" t="inlineStr"/>
      <c r="R620" s="9" t="inlineStr"/>
      <c r="S620" s="9" t="inlineStr"/>
      <c r="T620" s="9" t="inlineStr"/>
    </row>
    <row r="621">
      <c r="A621" s="9" t="inlineStr"/>
      <c r="B621" s="9" t="inlineStr"/>
      <c r="C621" s="9" t="inlineStr"/>
      <c r="D621" s="9" t="inlineStr"/>
      <c r="E621" s="9" t="inlineStr"/>
      <c r="F621" s="9" t="inlineStr"/>
      <c r="G621" s="10" t="inlineStr"/>
      <c r="H621" s="9" t="inlineStr"/>
      <c r="I621" s="9" t="inlineStr"/>
      <c r="J621" s="10">
        <f>IF(G621="","",G621-I621)</f>
        <v/>
      </c>
      <c r="K621" s="9" t="inlineStr"/>
      <c r="L621" s="9" t="inlineStr"/>
      <c r="M621" s="9">
        <f>IF(D621="","",IF(L621="انجام شده","انجام شده",IF(L621="لغو شده","لغو شده",IF(G621&lt;TODAY(),"عقب‌افتاده",IF(G621=TODAY(),"امروز",IF(G621&lt;=TODAY()+7,"تا ۷ روز",IF(G621&lt;=TODAY()+15,"تا ۱۵ روز","آینده")))))))</f>
        <v/>
      </c>
      <c r="N621" s="9" t="inlineStr"/>
      <c r="O621" s="9" t="inlineStr"/>
      <c r="P621" s="10" t="inlineStr"/>
      <c r="Q621" s="9" t="inlineStr"/>
      <c r="R621" s="9" t="inlineStr"/>
      <c r="S621" s="9" t="inlineStr"/>
      <c r="T621" s="9" t="inlineStr"/>
    </row>
    <row r="622">
      <c r="A622" s="9" t="inlineStr"/>
      <c r="B622" s="9" t="inlineStr"/>
      <c r="C622" s="9" t="inlineStr"/>
      <c r="D622" s="9" t="inlineStr"/>
      <c r="E622" s="9" t="inlineStr"/>
      <c r="F622" s="9" t="inlineStr"/>
      <c r="G622" s="10" t="inlineStr"/>
      <c r="H622" s="9" t="inlineStr"/>
      <c r="I622" s="9" t="inlineStr"/>
      <c r="J622" s="10">
        <f>IF(G622="","",G622-I622)</f>
        <v/>
      </c>
      <c r="K622" s="9" t="inlineStr"/>
      <c r="L622" s="9" t="inlineStr"/>
      <c r="M622" s="9">
        <f>IF(D622="","",IF(L622="انجام شده","انجام شده",IF(L622="لغو شده","لغو شده",IF(G622&lt;TODAY(),"عقب‌افتاده",IF(G622=TODAY(),"امروز",IF(G622&lt;=TODAY()+7,"تا ۷ روز",IF(G622&lt;=TODAY()+15,"تا ۱۵ روز","آینده")))))))</f>
        <v/>
      </c>
      <c r="N622" s="9" t="inlineStr"/>
      <c r="O622" s="9" t="inlineStr"/>
      <c r="P622" s="10" t="inlineStr"/>
      <c r="Q622" s="9" t="inlineStr"/>
      <c r="R622" s="9" t="inlineStr"/>
      <c r="S622" s="9" t="inlineStr"/>
      <c r="T622" s="9" t="inlineStr"/>
    </row>
    <row r="623">
      <c r="A623" s="9" t="inlineStr"/>
      <c r="B623" s="9" t="inlineStr"/>
      <c r="C623" s="9" t="inlineStr"/>
      <c r="D623" s="9" t="inlineStr"/>
      <c r="E623" s="9" t="inlineStr"/>
      <c r="F623" s="9" t="inlineStr"/>
      <c r="G623" s="10" t="inlineStr"/>
      <c r="H623" s="9" t="inlineStr"/>
      <c r="I623" s="9" t="inlineStr"/>
      <c r="J623" s="10">
        <f>IF(G623="","",G623-I623)</f>
        <v/>
      </c>
      <c r="K623" s="9" t="inlineStr"/>
      <c r="L623" s="9" t="inlineStr"/>
      <c r="M623" s="9">
        <f>IF(D623="","",IF(L623="انجام شده","انجام شده",IF(L623="لغو شده","لغو شده",IF(G623&lt;TODAY(),"عقب‌افتاده",IF(G623=TODAY(),"امروز",IF(G623&lt;=TODAY()+7,"تا ۷ روز",IF(G623&lt;=TODAY()+15,"تا ۱۵ روز","آینده")))))))</f>
        <v/>
      </c>
      <c r="N623" s="9" t="inlineStr"/>
      <c r="O623" s="9" t="inlineStr"/>
      <c r="P623" s="10" t="inlineStr"/>
      <c r="Q623" s="9" t="inlineStr"/>
      <c r="R623" s="9" t="inlineStr"/>
      <c r="S623" s="9" t="inlineStr"/>
      <c r="T623" s="9" t="inlineStr"/>
    </row>
    <row r="624">
      <c r="A624" s="9" t="inlineStr"/>
      <c r="B624" s="9" t="inlineStr"/>
      <c r="C624" s="9" t="inlineStr"/>
      <c r="D624" s="9" t="inlineStr"/>
      <c r="E624" s="9" t="inlineStr"/>
      <c r="F624" s="9" t="inlineStr"/>
      <c r="G624" s="10" t="inlineStr"/>
      <c r="H624" s="9" t="inlineStr"/>
      <c r="I624" s="9" t="inlineStr"/>
      <c r="J624" s="10">
        <f>IF(G624="","",G624-I624)</f>
        <v/>
      </c>
      <c r="K624" s="9" t="inlineStr"/>
      <c r="L624" s="9" t="inlineStr"/>
      <c r="M624" s="9">
        <f>IF(D624="","",IF(L624="انجام شده","انجام شده",IF(L624="لغو شده","لغو شده",IF(G624&lt;TODAY(),"عقب‌افتاده",IF(G624=TODAY(),"امروز",IF(G624&lt;=TODAY()+7,"تا ۷ روز",IF(G624&lt;=TODAY()+15,"تا ۱۵ روز","آینده")))))))</f>
        <v/>
      </c>
      <c r="N624" s="9" t="inlineStr"/>
      <c r="O624" s="9" t="inlineStr"/>
      <c r="P624" s="10" t="inlineStr"/>
      <c r="Q624" s="9" t="inlineStr"/>
      <c r="R624" s="9" t="inlineStr"/>
      <c r="S624" s="9" t="inlineStr"/>
      <c r="T624" s="9" t="inlineStr"/>
    </row>
    <row r="625">
      <c r="A625" s="9" t="inlineStr"/>
      <c r="B625" s="9" t="inlineStr"/>
      <c r="C625" s="9" t="inlineStr"/>
      <c r="D625" s="9" t="inlineStr"/>
      <c r="E625" s="9" t="inlineStr"/>
      <c r="F625" s="9" t="inlineStr"/>
      <c r="G625" s="10" t="inlineStr"/>
      <c r="H625" s="9" t="inlineStr"/>
      <c r="I625" s="9" t="inlineStr"/>
      <c r="J625" s="10">
        <f>IF(G625="","",G625-I625)</f>
        <v/>
      </c>
      <c r="K625" s="9" t="inlineStr"/>
      <c r="L625" s="9" t="inlineStr"/>
      <c r="M625" s="9">
        <f>IF(D625="","",IF(L625="انجام شده","انجام شده",IF(L625="لغو شده","لغو شده",IF(G625&lt;TODAY(),"عقب‌افتاده",IF(G625=TODAY(),"امروز",IF(G625&lt;=TODAY()+7,"تا ۷ روز",IF(G625&lt;=TODAY()+15,"تا ۱۵ روز","آینده")))))))</f>
        <v/>
      </c>
      <c r="N625" s="9" t="inlineStr"/>
      <c r="O625" s="9" t="inlineStr"/>
      <c r="P625" s="10" t="inlineStr"/>
      <c r="Q625" s="9" t="inlineStr"/>
      <c r="R625" s="9" t="inlineStr"/>
      <c r="S625" s="9" t="inlineStr"/>
      <c r="T625" s="9" t="inlineStr"/>
    </row>
    <row r="626">
      <c r="A626" s="9" t="inlineStr"/>
      <c r="B626" s="9" t="inlineStr"/>
      <c r="C626" s="9" t="inlineStr"/>
      <c r="D626" s="9" t="inlineStr"/>
      <c r="E626" s="9" t="inlineStr"/>
      <c r="F626" s="9" t="inlineStr"/>
      <c r="G626" s="10" t="inlineStr"/>
      <c r="H626" s="9" t="inlineStr"/>
      <c r="I626" s="9" t="inlineStr"/>
      <c r="J626" s="10">
        <f>IF(G626="","",G626-I626)</f>
        <v/>
      </c>
      <c r="K626" s="9" t="inlineStr"/>
      <c r="L626" s="9" t="inlineStr"/>
      <c r="M626" s="9">
        <f>IF(D626="","",IF(L626="انجام شده","انجام شده",IF(L626="لغو شده","لغو شده",IF(G626&lt;TODAY(),"عقب‌افتاده",IF(G626=TODAY(),"امروز",IF(G626&lt;=TODAY()+7,"تا ۷ روز",IF(G626&lt;=TODAY()+15,"تا ۱۵ روز","آینده")))))))</f>
        <v/>
      </c>
      <c r="N626" s="9" t="inlineStr"/>
      <c r="O626" s="9" t="inlineStr"/>
      <c r="P626" s="10" t="inlineStr"/>
      <c r="Q626" s="9" t="inlineStr"/>
      <c r="R626" s="9" t="inlineStr"/>
      <c r="S626" s="9" t="inlineStr"/>
      <c r="T626" s="9" t="inlineStr"/>
    </row>
    <row r="627">
      <c r="A627" s="9" t="inlineStr"/>
      <c r="B627" s="9" t="inlineStr"/>
      <c r="C627" s="9" t="inlineStr"/>
      <c r="D627" s="9" t="inlineStr"/>
      <c r="E627" s="9" t="inlineStr"/>
      <c r="F627" s="9" t="inlineStr"/>
      <c r="G627" s="10" t="inlineStr"/>
      <c r="H627" s="9" t="inlineStr"/>
      <c r="I627" s="9" t="inlineStr"/>
      <c r="J627" s="10">
        <f>IF(G627="","",G627-I627)</f>
        <v/>
      </c>
      <c r="K627" s="9" t="inlineStr"/>
      <c r="L627" s="9" t="inlineStr"/>
      <c r="M627" s="9">
        <f>IF(D627="","",IF(L627="انجام شده","انجام شده",IF(L627="لغو شده","لغو شده",IF(G627&lt;TODAY(),"عقب‌افتاده",IF(G627=TODAY(),"امروز",IF(G627&lt;=TODAY()+7,"تا ۷ روز",IF(G627&lt;=TODAY()+15,"تا ۱۵ روز","آینده")))))))</f>
        <v/>
      </c>
      <c r="N627" s="9" t="inlineStr"/>
      <c r="O627" s="9" t="inlineStr"/>
      <c r="P627" s="10" t="inlineStr"/>
      <c r="Q627" s="9" t="inlineStr"/>
      <c r="R627" s="9" t="inlineStr"/>
      <c r="S627" s="9" t="inlineStr"/>
      <c r="T627" s="9" t="inlineStr"/>
    </row>
    <row r="628">
      <c r="A628" s="9" t="inlineStr"/>
      <c r="B628" s="9" t="inlineStr"/>
      <c r="C628" s="9" t="inlineStr"/>
      <c r="D628" s="9" t="inlineStr"/>
      <c r="E628" s="9" t="inlineStr"/>
      <c r="F628" s="9" t="inlineStr"/>
      <c r="G628" s="10" t="inlineStr"/>
      <c r="H628" s="9" t="inlineStr"/>
      <c r="I628" s="9" t="inlineStr"/>
      <c r="J628" s="10">
        <f>IF(G628="","",G628-I628)</f>
        <v/>
      </c>
      <c r="K628" s="9" t="inlineStr"/>
      <c r="L628" s="9" t="inlineStr"/>
      <c r="M628" s="9">
        <f>IF(D628="","",IF(L628="انجام شده","انجام شده",IF(L628="لغو شده","لغو شده",IF(G628&lt;TODAY(),"عقب‌افتاده",IF(G628=TODAY(),"امروز",IF(G628&lt;=TODAY()+7,"تا ۷ روز",IF(G628&lt;=TODAY()+15,"تا ۱۵ روز","آینده")))))))</f>
        <v/>
      </c>
      <c r="N628" s="9" t="inlineStr"/>
      <c r="O628" s="9" t="inlineStr"/>
      <c r="P628" s="10" t="inlineStr"/>
      <c r="Q628" s="9" t="inlineStr"/>
      <c r="R628" s="9" t="inlineStr"/>
      <c r="S628" s="9" t="inlineStr"/>
      <c r="T628" s="9" t="inlineStr"/>
    </row>
    <row r="629">
      <c r="A629" s="9" t="inlineStr"/>
      <c r="B629" s="9" t="inlineStr"/>
      <c r="C629" s="9" t="inlineStr"/>
      <c r="D629" s="9" t="inlineStr"/>
      <c r="E629" s="9" t="inlineStr"/>
      <c r="F629" s="9" t="inlineStr"/>
      <c r="G629" s="10" t="inlineStr"/>
      <c r="H629" s="9" t="inlineStr"/>
      <c r="I629" s="9" t="inlineStr"/>
      <c r="J629" s="10">
        <f>IF(G629="","",G629-I629)</f>
        <v/>
      </c>
      <c r="K629" s="9" t="inlineStr"/>
      <c r="L629" s="9" t="inlineStr"/>
      <c r="M629" s="9">
        <f>IF(D629="","",IF(L629="انجام شده","انجام شده",IF(L629="لغو شده","لغو شده",IF(G629&lt;TODAY(),"عقب‌افتاده",IF(G629=TODAY(),"امروز",IF(G629&lt;=TODAY()+7,"تا ۷ روز",IF(G629&lt;=TODAY()+15,"تا ۱۵ روز","آینده")))))))</f>
        <v/>
      </c>
      <c r="N629" s="9" t="inlineStr"/>
      <c r="O629" s="9" t="inlineStr"/>
      <c r="P629" s="10" t="inlineStr"/>
      <c r="Q629" s="9" t="inlineStr"/>
      <c r="R629" s="9" t="inlineStr"/>
      <c r="S629" s="9" t="inlineStr"/>
      <c r="T629" s="9" t="inlineStr"/>
    </row>
    <row r="630">
      <c r="A630" s="9" t="inlineStr"/>
      <c r="B630" s="9" t="inlineStr"/>
      <c r="C630" s="9" t="inlineStr"/>
      <c r="D630" s="9" t="inlineStr"/>
      <c r="E630" s="9" t="inlineStr"/>
      <c r="F630" s="9" t="inlineStr"/>
      <c r="G630" s="10" t="inlineStr"/>
      <c r="H630" s="9" t="inlineStr"/>
      <c r="I630" s="9" t="inlineStr"/>
      <c r="J630" s="10">
        <f>IF(G630="","",G630-I630)</f>
        <v/>
      </c>
      <c r="K630" s="9" t="inlineStr"/>
      <c r="L630" s="9" t="inlineStr"/>
      <c r="M630" s="9">
        <f>IF(D630="","",IF(L630="انجام شده","انجام شده",IF(L630="لغو شده","لغو شده",IF(G630&lt;TODAY(),"عقب‌افتاده",IF(G630=TODAY(),"امروز",IF(G630&lt;=TODAY()+7,"تا ۷ روز",IF(G630&lt;=TODAY()+15,"تا ۱۵ روز","آینده")))))))</f>
        <v/>
      </c>
      <c r="N630" s="9" t="inlineStr"/>
      <c r="O630" s="9" t="inlineStr"/>
      <c r="P630" s="10" t="inlineStr"/>
      <c r="Q630" s="9" t="inlineStr"/>
      <c r="R630" s="9" t="inlineStr"/>
      <c r="S630" s="9" t="inlineStr"/>
      <c r="T630" s="9" t="inlineStr"/>
    </row>
    <row r="631">
      <c r="A631" s="9" t="inlineStr"/>
      <c r="B631" s="9" t="inlineStr"/>
      <c r="C631" s="9" t="inlineStr"/>
      <c r="D631" s="9" t="inlineStr"/>
      <c r="E631" s="9" t="inlineStr"/>
      <c r="F631" s="9" t="inlineStr"/>
      <c r="G631" s="10" t="inlineStr"/>
      <c r="H631" s="9" t="inlineStr"/>
      <c r="I631" s="9" t="inlineStr"/>
      <c r="J631" s="10">
        <f>IF(G631="","",G631-I631)</f>
        <v/>
      </c>
      <c r="K631" s="9" t="inlineStr"/>
      <c r="L631" s="9" t="inlineStr"/>
      <c r="M631" s="9">
        <f>IF(D631="","",IF(L631="انجام شده","انجام شده",IF(L631="لغو شده","لغو شده",IF(G631&lt;TODAY(),"عقب‌افتاده",IF(G631=TODAY(),"امروز",IF(G631&lt;=TODAY()+7,"تا ۷ روز",IF(G631&lt;=TODAY()+15,"تا ۱۵ روز","آینده")))))))</f>
        <v/>
      </c>
      <c r="N631" s="9" t="inlineStr"/>
      <c r="O631" s="9" t="inlineStr"/>
      <c r="P631" s="10" t="inlineStr"/>
      <c r="Q631" s="9" t="inlineStr"/>
      <c r="R631" s="9" t="inlineStr"/>
      <c r="S631" s="9" t="inlineStr"/>
      <c r="T631" s="9" t="inlineStr"/>
    </row>
    <row r="632">
      <c r="A632" s="9" t="inlineStr"/>
      <c r="B632" s="9" t="inlineStr"/>
      <c r="C632" s="9" t="inlineStr"/>
      <c r="D632" s="9" t="inlineStr"/>
      <c r="E632" s="9" t="inlineStr"/>
      <c r="F632" s="9" t="inlineStr"/>
      <c r="G632" s="10" t="inlineStr"/>
      <c r="H632" s="9" t="inlineStr"/>
      <c r="I632" s="9" t="inlineStr"/>
      <c r="J632" s="10">
        <f>IF(G632="","",G632-I632)</f>
        <v/>
      </c>
      <c r="K632" s="9" t="inlineStr"/>
      <c r="L632" s="9" t="inlineStr"/>
      <c r="M632" s="9">
        <f>IF(D632="","",IF(L632="انجام شده","انجام شده",IF(L632="لغو شده","لغو شده",IF(G632&lt;TODAY(),"عقب‌افتاده",IF(G632=TODAY(),"امروز",IF(G632&lt;=TODAY()+7,"تا ۷ روز",IF(G632&lt;=TODAY()+15,"تا ۱۵ روز","آینده")))))))</f>
        <v/>
      </c>
      <c r="N632" s="9" t="inlineStr"/>
      <c r="O632" s="9" t="inlineStr"/>
      <c r="P632" s="10" t="inlineStr"/>
      <c r="Q632" s="9" t="inlineStr"/>
      <c r="R632" s="9" t="inlineStr"/>
      <c r="S632" s="9" t="inlineStr"/>
      <c r="T632" s="9" t="inlineStr"/>
    </row>
    <row r="633">
      <c r="A633" s="9" t="inlineStr"/>
      <c r="B633" s="9" t="inlineStr"/>
      <c r="C633" s="9" t="inlineStr"/>
      <c r="D633" s="9" t="inlineStr"/>
      <c r="E633" s="9" t="inlineStr"/>
      <c r="F633" s="9" t="inlineStr"/>
      <c r="G633" s="10" t="inlineStr"/>
      <c r="H633" s="9" t="inlineStr"/>
      <c r="I633" s="9" t="inlineStr"/>
      <c r="J633" s="10">
        <f>IF(G633="","",G633-I633)</f>
        <v/>
      </c>
      <c r="K633" s="9" t="inlineStr"/>
      <c r="L633" s="9" t="inlineStr"/>
      <c r="M633" s="9">
        <f>IF(D633="","",IF(L633="انجام شده","انجام شده",IF(L633="لغو شده","لغو شده",IF(G633&lt;TODAY(),"عقب‌افتاده",IF(G633=TODAY(),"امروز",IF(G633&lt;=TODAY()+7,"تا ۷ روز",IF(G633&lt;=TODAY()+15,"تا ۱۵ روز","آینده")))))))</f>
        <v/>
      </c>
      <c r="N633" s="9" t="inlineStr"/>
      <c r="O633" s="9" t="inlineStr"/>
      <c r="P633" s="10" t="inlineStr"/>
      <c r="Q633" s="9" t="inlineStr"/>
      <c r="R633" s="9" t="inlineStr"/>
      <c r="S633" s="9" t="inlineStr"/>
      <c r="T633" s="9" t="inlineStr"/>
    </row>
    <row r="634">
      <c r="A634" s="9" t="inlineStr"/>
      <c r="B634" s="9" t="inlineStr"/>
      <c r="C634" s="9" t="inlineStr"/>
      <c r="D634" s="9" t="inlineStr"/>
      <c r="E634" s="9" t="inlineStr"/>
      <c r="F634" s="9" t="inlineStr"/>
      <c r="G634" s="10" t="inlineStr"/>
      <c r="H634" s="9" t="inlineStr"/>
      <c r="I634" s="9" t="inlineStr"/>
      <c r="J634" s="10">
        <f>IF(G634="","",G634-I634)</f>
        <v/>
      </c>
      <c r="K634" s="9" t="inlineStr"/>
      <c r="L634" s="9" t="inlineStr"/>
      <c r="M634" s="9">
        <f>IF(D634="","",IF(L634="انجام شده","انجام شده",IF(L634="لغو شده","لغو شده",IF(G634&lt;TODAY(),"عقب‌افتاده",IF(G634=TODAY(),"امروز",IF(G634&lt;=TODAY()+7,"تا ۷ روز",IF(G634&lt;=TODAY()+15,"تا ۱۵ روز","آینده")))))))</f>
        <v/>
      </c>
      <c r="N634" s="9" t="inlineStr"/>
      <c r="O634" s="9" t="inlineStr"/>
      <c r="P634" s="10" t="inlineStr"/>
      <c r="Q634" s="9" t="inlineStr"/>
      <c r="R634" s="9" t="inlineStr"/>
      <c r="S634" s="9" t="inlineStr"/>
      <c r="T634" s="9" t="inlineStr"/>
    </row>
    <row r="635">
      <c r="A635" s="9" t="inlineStr"/>
      <c r="B635" s="9" t="inlineStr"/>
      <c r="C635" s="9" t="inlineStr"/>
      <c r="D635" s="9" t="inlineStr"/>
      <c r="E635" s="9" t="inlineStr"/>
      <c r="F635" s="9" t="inlineStr"/>
      <c r="G635" s="10" t="inlineStr"/>
      <c r="H635" s="9" t="inlineStr"/>
      <c r="I635" s="9" t="inlineStr"/>
      <c r="J635" s="10">
        <f>IF(G635="","",G635-I635)</f>
        <v/>
      </c>
      <c r="K635" s="9" t="inlineStr"/>
      <c r="L635" s="9" t="inlineStr"/>
      <c r="M635" s="9">
        <f>IF(D635="","",IF(L635="انجام شده","انجام شده",IF(L635="لغو شده","لغو شده",IF(G635&lt;TODAY(),"عقب‌افتاده",IF(G635=TODAY(),"امروز",IF(G635&lt;=TODAY()+7,"تا ۷ روز",IF(G635&lt;=TODAY()+15,"تا ۱۵ روز","آینده")))))))</f>
        <v/>
      </c>
      <c r="N635" s="9" t="inlineStr"/>
      <c r="O635" s="9" t="inlineStr"/>
      <c r="P635" s="10" t="inlineStr"/>
      <c r="Q635" s="9" t="inlineStr"/>
      <c r="R635" s="9" t="inlineStr"/>
      <c r="S635" s="9" t="inlineStr"/>
      <c r="T635" s="9" t="inlineStr"/>
    </row>
    <row r="636">
      <c r="A636" s="9" t="inlineStr"/>
      <c r="B636" s="9" t="inlineStr"/>
      <c r="C636" s="9" t="inlineStr"/>
      <c r="D636" s="9" t="inlineStr"/>
      <c r="E636" s="9" t="inlineStr"/>
      <c r="F636" s="9" t="inlineStr"/>
      <c r="G636" s="10" t="inlineStr"/>
      <c r="H636" s="9" t="inlineStr"/>
      <c r="I636" s="9" t="inlineStr"/>
      <c r="J636" s="10">
        <f>IF(G636="","",G636-I636)</f>
        <v/>
      </c>
      <c r="K636" s="9" t="inlineStr"/>
      <c r="L636" s="9" t="inlineStr"/>
      <c r="M636" s="9">
        <f>IF(D636="","",IF(L636="انجام شده","انجام شده",IF(L636="لغو شده","لغو شده",IF(G636&lt;TODAY(),"عقب‌افتاده",IF(G636=TODAY(),"امروز",IF(G636&lt;=TODAY()+7,"تا ۷ روز",IF(G636&lt;=TODAY()+15,"تا ۱۵ روز","آینده")))))))</f>
        <v/>
      </c>
      <c r="N636" s="9" t="inlineStr"/>
      <c r="O636" s="9" t="inlineStr"/>
      <c r="P636" s="10" t="inlineStr"/>
      <c r="Q636" s="9" t="inlineStr"/>
      <c r="R636" s="9" t="inlineStr"/>
      <c r="S636" s="9" t="inlineStr"/>
      <c r="T636" s="9" t="inlineStr"/>
    </row>
    <row r="637">
      <c r="A637" s="9" t="inlineStr"/>
      <c r="B637" s="9" t="inlineStr"/>
      <c r="C637" s="9" t="inlineStr"/>
      <c r="D637" s="9" t="inlineStr"/>
      <c r="E637" s="9" t="inlineStr"/>
      <c r="F637" s="9" t="inlineStr"/>
      <c r="G637" s="10" t="inlineStr"/>
      <c r="H637" s="9" t="inlineStr"/>
      <c r="I637" s="9" t="inlineStr"/>
      <c r="J637" s="10">
        <f>IF(G637="","",G637-I637)</f>
        <v/>
      </c>
      <c r="K637" s="9" t="inlineStr"/>
      <c r="L637" s="9" t="inlineStr"/>
      <c r="M637" s="9">
        <f>IF(D637="","",IF(L637="انجام شده","انجام شده",IF(L637="لغو شده","لغو شده",IF(G637&lt;TODAY(),"عقب‌افتاده",IF(G637=TODAY(),"امروز",IF(G637&lt;=TODAY()+7,"تا ۷ روز",IF(G637&lt;=TODAY()+15,"تا ۱۵ روز","آینده")))))))</f>
        <v/>
      </c>
      <c r="N637" s="9" t="inlineStr"/>
      <c r="O637" s="9" t="inlineStr"/>
      <c r="P637" s="10" t="inlineStr"/>
      <c r="Q637" s="9" t="inlineStr"/>
      <c r="R637" s="9" t="inlineStr"/>
      <c r="S637" s="9" t="inlineStr"/>
      <c r="T637" s="9" t="inlineStr"/>
    </row>
    <row r="638">
      <c r="A638" s="9" t="inlineStr"/>
      <c r="B638" s="9" t="inlineStr"/>
      <c r="C638" s="9" t="inlineStr"/>
      <c r="D638" s="9" t="inlineStr"/>
      <c r="E638" s="9" t="inlineStr"/>
      <c r="F638" s="9" t="inlineStr"/>
      <c r="G638" s="10" t="inlineStr"/>
      <c r="H638" s="9" t="inlineStr"/>
      <c r="I638" s="9" t="inlineStr"/>
      <c r="J638" s="10">
        <f>IF(G638="","",G638-I638)</f>
        <v/>
      </c>
      <c r="K638" s="9" t="inlineStr"/>
      <c r="L638" s="9" t="inlineStr"/>
      <c r="M638" s="9">
        <f>IF(D638="","",IF(L638="انجام شده","انجام شده",IF(L638="لغو شده","لغو شده",IF(G638&lt;TODAY(),"عقب‌افتاده",IF(G638=TODAY(),"امروز",IF(G638&lt;=TODAY()+7,"تا ۷ روز",IF(G638&lt;=TODAY()+15,"تا ۱۵ روز","آینده")))))))</f>
        <v/>
      </c>
      <c r="N638" s="9" t="inlineStr"/>
      <c r="O638" s="9" t="inlineStr"/>
      <c r="P638" s="10" t="inlineStr"/>
      <c r="Q638" s="9" t="inlineStr"/>
      <c r="R638" s="9" t="inlineStr"/>
      <c r="S638" s="9" t="inlineStr"/>
      <c r="T638" s="9" t="inlineStr"/>
    </row>
    <row r="639">
      <c r="A639" s="9" t="inlineStr"/>
      <c r="B639" s="9" t="inlineStr"/>
      <c r="C639" s="9" t="inlineStr"/>
      <c r="D639" s="9" t="inlineStr"/>
      <c r="E639" s="9" t="inlineStr"/>
      <c r="F639" s="9" t="inlineStr"/>
      <c r="G639" s="10" t="inlineStr"/>
      <c r="H639" s="9" t="inlineStr"/>
      <c r="I639" s="9" t="inlineStr"/>
      <c r="J639" s="10">
        <f>IF(G639="","",G639-I639)</f>
        <v/>
      </c>
      <c r="K639" s="9" t="inlineStr"/>
      <c r="L639" s="9" t="inlineStr"/>
      <c r="M639" s="9">
        <f>IF(D639="","",IF(L639="انجام شده","انجام شده",IF(L639="لغو شده","لغو شده",IF(G639&lt;TODAY(),"عقب‌افتاده",IF(G639=TODAY(),"امروز",IF(G639&lt;=TODAY()+7,"تا ۷ روز",IF(G639&lt;=TODAY()+15,"تا ۱۵ روز","آینده")))))))</f>
        <v/>
      </c>
      <c r="N639" s="9" t="inlineStr"/>
      <c r="O639" s="9" t="inlineStr"/>
      <c r="P639" s="10" t="inlineStr"/>
      <c r="Q639" s="9" t="inlineStr"/>
      <c r="R639" s="9" t="inlineStr"/>
      <c r="S639" s="9" t="inlineStr"/>
      <c r="T639" s="9" t="inlineStr"/>
    </row>
    <row r="640">
      <c r="A640" s="9" t="inlineStr"/>
      <c r="B640" s="9" t="inlineStr"/>
      <c r="C640" s="9" t="inlineStr"/>
      <c r="D640" s="9" t="inlineStr"/>
      <c r="E640" s="9" t="inlineStr"/>
      <c r="F640" s="9" t="inlineStr"/>
      <c r="G640" s="10" t="inlineStr"/>
      <c r="H640" s="9" t="inlineStr"/>
      <c r="I640" s="9" t="inlineStr"/>
      <c r="J640" s="10">
        <f>IF(G640="","",G640-I640)</f>
        <v/>
      </c>
      <c r="K640" s="9" t="inlineStr"/>
      <c r="L640" s="9" t="inlineStr"/>
      <c r="M640" s="9">
        <f>IF(D640="","",IF(L640="انجام شده","انجام شده",IF(L640="لغو شده","لغو شده",IF(G640&lt;TODAY(),"عقب‌افتاده",IF(G640=TODAY(),"امروز",IF(G640&lt;=TODAY()+7,"تا ۷ روز",IF(G640&lt;=TODAY()+15,"تا ۱۵ روز","آینده")))))))</f>
        <v/>
      </c>
      <c r="N640" s="9" t="inlineStr"/>
      <c r="O640" s="9" t="inlineStr"/>
      <c r="P640" s="10" t="inlineStr"/>
      <c r="Q640" s="9" t="inlineStr"/>
      <c r="R640" s="9" t="inlineStr"/>
      <c r="S640" s="9" t="inlineStr"/>
      <c r="T640" s="9" t="inlineStr"/>
    </row>
    <row r="641">
      <c r="A641" s="9" t="inlineStr"/>
      <c r="B641" s="9" t="inlineStr"/>
      <c r="C641" s="9" t="inlineStr"/>
      <c r="D641" s="9" t="inlineStr"/>
      <c r="E641" s="9" t="inlineStr"/>
      <c r="F641" s="9" t="inlineStr"/>
      <c r="G641" s="10" t="inlineStr"/>
      <c r="H641" s="9" t="inlineStr"/>
      <c r="I641" s="9" t="inlineStr"/>
      <c r="J641" s="10">
        <f>IF(G641="","",G641-I641)</f>
        <v/>
      </c>
      <c r="K641" s="9" t="inlineStr"/>
      <c r="L641" s="9" t="inlineStr"/>
      <c r="M641" s="9">
        <f>IF(D641="","",IF(L641="انجام شده","انجام شده",IF(L641="لغو شده","لغو شده",IF(G641&lt;TODAY(),"عقب‌افتاده",IF(G641=TODAY(),"امروز",IF(G641&lt;=TODAY()+7,"تا ۷ روز",IF(G641&lt;=TODAY()+15,"تا ۱۵ روز","آینده")))))))</f>
        <v/>
      </c>
      <c r="N641" s="9" t="inlineStr"/>
      <c r="O641" s="9" t="inlineStr"/>
      <c r="P641" s="10" t="inlineStr"/>
      <c r="Q641" s="9" t="inlineStr"/>
      <c r="R641" s="9" t="inlineStr"/>
      <c r="S641" s="9" t="inlineStr"/>
      <c r="T641" s="9" t="inlineStr"/>
    </row>
    <row r="642">
      <c r="A642" s="9" t="inlineStr"/>
      <c r="B642" s="9" t="inlineStr"/>
      <c r="C642" s="9" t="inlineStr"/>
      <c r="D642" s="9" t="inlineStr"/>
      <c r="E642" s="9" t="inlineStr"/>
      <c r="F642" s="9" t="inlineStr"/>
      <c r="G642" s="10" t="inlineStr"/>
      <c r="H642" s="9" t="inlineStr"/>
      <c r="I642" s="9" t="inlineStr"/>
      <c r="J642" s="10">
        <f>IF(G642="","",G642-I642)</f>
        <v/>
      </c>
      <c r="K642" s="9" t="inlineStr"/>
      <c r="L642" s="9" t="inlineStr"/>
      <c r="M642" s="9">
        <f>IF(D642="","",IF(L642="انجام شده","انجام شده",IF(L642="لغو شده","لغو شده",IF(G642&lt;TODAY(),"عقب‌افتاده",IF(G642=TODAY(),"امروز",IF(G642&lt;=TODAY()+7,"تا ۷ روز",IF(G642&lt;=TODAY()+15,"تا ۱۵ روز","آینده")))))))</f>
        <v/>
      </c>
      <c r="N642" s="9" t="inlineStr"/>
      <c r="O642" s="9" t="inlineStr"/>
      <c r="P642" s="10" t="inlineStr"/>
      <c r="Q642" s="9" t="inlineStr"/>
      <c r="R642" s="9" t="inlineStr"/>
      <c r="S642" s="9" t="inlineStr"/>
      <c r="T642" s="9" t="inlineStr"/>
    </row>
    <row r="643">
      <c r="A643" s="9" t="inlineStr"/>
      <c r="B643" s="9" t="inlineStr"/>
      <c r="C643" s="9" t="inlineStr"/>
      <c r="D643" s="9" t="inlineStr"/>
      <c r="E643" s="9" t="inlineStr"/>
      <c r="F643" s="9" t="inlineStr"/>
      <c r="G643" s="10" t="inlineStr"/>
      <c r="H643" s="9" t="inlineStr"/>
      <c r="I643" s="9" t="inlineStr"/>
      <c r="J643" s="10">
        <f>IF(G643="","",G643-I643)</f>
        <v/>
      </c>
      <c r="K643" s="9" t="inlineStr"/>
      <c r="L643" s="9" t="inlineStr"/>
      <c r="M643" s="9">
        <f>IF(D643="","",IF(L643="انجام شده","انجام شده",IF(L643="لغو شده","لغو شده",IF(G643&lt;TODAY(),"عقب‌افتاده",IF(G643=TODAY(),"امروز",IF(G643&lt;=TODAY()+7,"تا ۷ روز",IF(G643&lt;=TODAY()+15,"تا ۱۵ روز","آینده")))))))</f>
        <v/>
      </c>
      <c r="N643" s="9" t="inlineStr"/>
      <c r="O643" s="9" t="inlineStr"/>
      <c r="P643" s="10" t="inlineStr"/>
      <c r="Q643" s="9" t="inlineStr"/>
      <c r="R643" s="9" t="inlineStr"/>
      <c r="S643" s="9" t="inlineStr"/>
      <c r="T643" s="9" t="inlineStr"/>
    </row>
    <row r="644">
      <c r="A644" s="9" t="inlineStr"/>
      <c r="B644" s="9" t="inlineStr"/>
      <c r="C644" s="9" t="inlineStr"/>
      <c r="D644" s="9" t="inlineStr"/>
      <c r="E644" s="9" t="inlineStr"/>
      <c r="F644" s="9" t="inlineStr"/>
      <c r="G644" s="10" t="inlineStr"/>
      <c r="H644" s="9" t="inlineStr"/>
      <c r="I644" s="9" t="inlineStr"/>
      <c r="J644" s="10">
        <f>IF(G644="","",G644-I644)</f>
        <v/>
      </c>
      <c r="K644" s="9" t="inlineStr"/>
      <c r="L644" s="9" t="inlineStr"/>
      <c r="M644" s="9">
        <f>IF(D644="","",IF(L644="انجام شده","انجام شده",IF(L644="لغو شده","لغو شده",IF(G644&lt;TODAY(),"عقب‌افتاده",IF(G644=TODAY(),"امروز",IF(G644&lt;=TODAY()+7,"تا ۷ روز",IF(G644&lt;=TODAY()+15,"تا ۱۵ روز","آینده")))))))</f>
        <v/>
      </c>
      <c r="N644" s="9" t="inlineStr"/>
      <c r="O644" s="9" t="inlineStr"/>
      <c r="P644" s="10" t="inlineStr"/>
      <c r="Q644" s="9" t="inlineStr"/>
      <c r="R644" s="9" t="inlineStr"/>
      <c r="S644" s="9" t="inlineStr"/>
      <c r="T644" s="9" t="inlineStr"/>
    </row>
    <row r="645">
      <c r="A645" s="9" t="inlineStr"/>
      <c r="B645" s="9" t="inlineStr"/>
      <c r="C645" s="9" t="inlineStr"/>
      <c r="D645" s="9" t="inlineStr"/>
      <c r="E645" s="9" t="inlineStr"/>
      <c r="F645" s="9" t="inlineStr"/>
      <c r="G645" s="10" t="inlineStr"/>
      <c r="H645" s="9" t="inlineStr"/>
      <c r="I645" s="9" t="inlineStr"/>
      <c r="J645" s="10">
        <f>IF(G645="","",G645-I645)</f>
        <v/>
      </c>
      <c r="K645" s="9" t="inlineStr"/>
      <c r="L645" s="9" t="inlineStr"/>
      <c r="M645" s="9">
        <f>IF(D645="","",IF(L645="انجام شده","انجام شده",IF(L645="لغو شده","لغو شده",IF(G645&lt;TODAY(),"عقب‌افتاده",IF(G645=TODAY(),"امروز",IF(G645&lt;=TODAY()+7,"تا ۷ روز",IF(G645&lt;=TODAY()+15,"تا ۱۵ روز","آینده")))))))</f>
        <v/>
      </c>
      <c r="N645" s="9" t="inlineStr"/>
      <c r="O645" s="9" t="inlineStr"/>
      <c r="P645" s="10" t="inlineStr"/>
      <c r="Q645" s="9" t="inlineStr"/>
      <c r="R645" s="9" t="inlineStr"/>
      <c r="S645" s="9" t="inlineStr"/>
      <c r="T645" s="9" t="inlineStr"/>
    </row>
    <row r="646">
      <c r="A646" s="9" t="inlineStr"/>
      <c r="B646" s="9" t="inlineStr"/>
      <c r="C646" s="9" t="inlineStr"/>
      <c r="D646" s="9" t="inlineStr"/>
      <c r="E646" s="9" t="inlineStr"/>
      <c r="F646" s="9" t="inlineStr"/>
      <c r="G646" s="10" t="inlineStr"/>
      <c r="H646" s="9" t="inlineStr"/>
      <c r="I646" s="9" t="inlineStr"/>
      <c r="J646" s="10">
        <f>IF(G646="","",G646-I646)</f>
        <v/>
      </c>
      <c r="K646" s="9" t="inlineStr"/>
      <c r="L646" s="9" t="inlineStr"/>
      <c r="M646" s="9">
        <f>IF(D646="","",IF(L646="انجام شده","انجام شده",IF(L646="لغو شده","لغو شده",IF(G646&lt;TODAY(),"عقب‌افتاده",IF(G646=TODAY(),"امروز",IF(G646&lt;=TODAY()+7,"تا ۷ روز",IF(G646&lt;=TODAY()+15,"تا ۱۵ روز","آینده")))))))</f>
        <v/>
      </c>
      <c r="N646" s="9" t="inlineStr"/>
      <c r="O646" s="9" t="inlineStr"/>
      <c r="P646" s="10" t="inlineStr"/>
      <c r="Q646" s="9" t="inlineStr"/>
      <c r="R646" s="9" t="inlineStr"/>
      <c r="S646" s="9" t="inlineStr"/>
      <c r="T646" s="9" t="inlineStr"/>
    </row>
    <row r="647">
      <c r="A647" s="9" t="inlineStr"/>
      <c r="B647" s="9" t="inlineStr"/>
      <c r="C647" s="9" t="inlineStr"/>
      <c r="D647" s="9" t="inlineStr"/>
      <c r="E647" s="9" t="inlineStr"/>
      <c r="F647" s="9" t="inlineStr"/>
      <c r="G647" s="10" t="inlineStr"/>
      <c r="H647" s="9" t="inlineStr"/>
      <c r="I647" s="9" t="inlineStr"/>
      <c r="J647" s="10">
        <f>IF(G647="","",G647-I647)</f>
        <v/>
      </c>
      <c r="K647" s="9" t="inlineStr"/>
      <c r="L647" s="9" t="inlineStr"/>
      <c r="M647" s="9">
        <f>IF(D647="","",IF(L647="انجام شده","انجام شده",IF(L647="لغو شده","لغو شده",IF(G647&lt;TODAY(),"عقب‌افتاده",IF(G647=TODAY(),"امروز",IF(G647&lt;=TODAY()+7,"تا ۷ روز",IF(G647&lt;=TODAY()+15,"تا ۱۵ روز","آینده")))))))</f>
        <v/>
      </c>
      <c r="N647" s="9" t="inlineStr"/>
      <c r="O647" s="9" t="inlineStr"/>
      <c r="P647" s="10" t="inlineStr"/>
      <c r="Q647" s="9" t="inlineStr"/>
      <c r="R647" s="9" t="inlineStr"/>
      <c r="S647" s="9" t="inlineStr"/>
      <c r="T647" s="9" t="inlineStr"/>
    </row>
    <row r="648">
      <c r="A648" s="9" t="inlineStr"/>
      <c r="B648" s="9" t="inlineStr"/>
      <c r="C648" s="9" t="inlineStr"/>
      <c r="D648" s="9" t="inlineStr"/>
      <c r="E648" s="9" t="inlineStr"/>
      <c r="F648" s="9" t="inlineStr"/>
      <c r="G648" s="10" t="inlineStr"/>
      <c r="H648" s="9" t="inlineStr"/>
      <c r="I648" s="9" t="inlineStr"/>
      <c r="J648" s="10">
        <f>IF(G648="","",G648-I648)</f>
        <v/>
      </c>
      <c r="K648" s="9" t="inlineStr"/>
      <c r="L648" s="9" t="inlineStr"/>
      <c r="M648" s="9">
        <f>IF(D648="","",IF(L648="انجام شده","انجام شده",IF(L648="لغو شده","لغو شده",IF(G648&lt;TODAY(),"عقب‌افتاده",IF(G648=TODAY(),"امروز",IF(G648&lt;=TODAY()+7,"تا ۷ روز",IF(G648&lt;=TODAY()+15,"تا ۱۵ روز","آینده")))))))</f>
        <v/>
      </c>
      <c r="N648" s="9" t="inlineStr"/>
      <c r="O648" s="9" t="inlineStr"/>
      <c r="P648" s="10" t="inlineStr"/>
      <c r="Q648" s="9" t="inlineStr"/>
      <c r="R648" s="9" t="inlineStr"/>
      <c r="S648" s="9" t="inlineStr"/>
      <c r="T648" s="9" t="inlineStr"/>
    </row>
    <row r="649">
      <c r="A649" s="9" t="inlineStr"/>
      <c r="B649" s="9" t="inlineStr"/>
      <c r="C649" s="9" t="inlineStr"/>
      <c r="D649" s="9" t="inlineStr"/>
      <c r="E649" s="9" t="inlineStr"/>
      <c r="F649" s="9" t="inlineStr"/>
      <c r="G649" s="10" t="inlineStr"/>
      <c r="H649" s="9" t="inlineStr"/>
      <c r="I649" s="9" t="inlineStr"/>
      <c r="J649" s="10">
        <f>IF(G649="","",G649-I649)</f>
        <v/>
      </c>
      <c r="K649" s="9" t="inlineStr"/>
      <c r="L649" s="9" t="inlineStr"/>
      <c r="M649" s="9">
        <f>IF(D649="","",IF(L649="انجام شده","انجام شده",IF(L649="لغو شده","لغو شده",IF(G649&lt;TODAY(),"عقب‌افتاده",IF(G649=TODAY(),"امروز",IF(G649&lt;=TODAY()+7,"تا ۷ روز",IF(G649&lt;=TODAY()+15,"تا ۱۵ روز","آینده")))))))</f>
        <v/>
      </c>
      <c r="N649" s="9" t="inlineStr"/>
      <c r="O649" s="9" t="inlineStr"/>
      <c r="P649" s="10" t="inlineStr"/>
      <c r="Q649" s="9" t="inlineStr"/>
      <c r="R649" s="9" t="inlineStr"/>
      <c r="S649" s="9" t="inlineStr"/>
      <c r="T649" s="9" t="inlineStr"/>
    </row>
    <row r="650">
      <c r="A650" s="9" t="inlineStr"/>
      <c r="B650" s="9" t="inlineStr"/>
      <c r="C650" s="9" t="inlineStr"/>
      <c r="D650" s="9" t="inlineStr"/>
      <c r="E650" s="9" t="inlineStr"/>
      <c r="F650" s="9" t="inlineStr"/>
      <c r="G650" s="10" t="inlineStr"/>
      <c r="H650" s="9" t="inlineStr"/>
      <c r="I650" s="9" t="inlineStr"/>
      <c r="J650" s="10">
        <f>IF(G650="","",G650-I650)</f>
        <v/>
      </c>
      <c r="K650" s="9" t="inlineStr"/>
      <c r="L650" s="9" t="inlineStr"/>
      <c r="M650" s="9">
        <f>IF(D650="","",IF(L650="انجام شده","انجام شده",IF(L650="لغو شده","لغو شده",IF(G650&lt;TODAY(),"عقب‌افتاده",IF(G650=TODAY(),"امروز",IF(G650&lt;=TODAY()+7,"تا ۷ روز",IF(G650&lt;=TODAY()+15,"تا ۱۵ روز","آینده")))))))</f>
        <v/>
      </c>
      <c r="N650" s="9" t="inlineStr"/>
      <c r="O650" s="9" t="inlineStr"/>
      <c r="P650" s="10" t="inlineStr"/>
      <c r="Q650" s="9" t="inlineStr"/>
      <c r="R650" s="9" t="inlineStr"/>
      <c r="S650" s="9" t="inlineStr"/>
      <c r="T650" s="9" t="inlineStr"/>
    </row>
    <row r="651">
      <c r="A651" s="9" t="inlineStr"/>
      <c r="B651" s="9" t="inlineStr"/>
      <c r="C651" s="9" t="inlineStr"/>
      <c r="D651" s="9" t="inlineStr"/>
      <c r="E651" s="9" t="inlineStr"/>
      <c r="F651" s="9" t="inlineStr"/>
      <c r="G651" s="10" t="inlineStr"/>
      <c r="H651" s="9" t="inlineStr"/>
      <c r="I651" s="9" t="inlineStr"/>
      <c r="J651" s="10">
        <f>IF(G651="","",G651-I651)</f>
        <v/>
      </c>
      <c r="K651" s="9" t="inlineStr"/>
      <c r="L651" s="9" t="inlineStr"/>
      <c r="M651" s="9">
        <f>IF(D651="","",IF(L651="انجام شده","انجام شده",IF(L651="لغو شده","لغو شده",IF(G651&lt;TODAY(),"عقب‌افتاده",IF(G651=TODAY(),"امروز",IF(G651&lt;=TODAY()+7,"تا ۷ روز",IF(G651&lt;=TODAY()+15,"تا ۱۵ روز","آینده")))))))</f>
        <v/>
      </c>
      <c r="N651" s="9" t="inlineStr"/>
      <c r="O651" s="9" t="inlineStr"/>
      <c r="P651" s="10" t="inlineStr"/>
      <c r="Q651" s="9" t="inlineStr"/>
      <c r="R651" s="9" t="inlineStr"/>
      <c r="S651" s="9" t="inlineStr"/>
      <c r="T651" s="9" t="inlineStr"/>
    </row>
    <row r="652">
      <c r="A652" s="9" t="inlineStr"/>
      <c r="B652" s="9" t="inlineStr"/>
      <c r="C652" s="9" t="inlineStr"/>
      <c r="D652" s="9" t="inlineStr"/>
      <c r="E652" s="9" t="inlineStr"/>
      <c r="F652" s="9" t="inlineStr"/>
      <c r="G652" s="10" t="inlineStr"/>
      <c r="H652" s="9" t="inlineStr"/>
      <c r="I652" s="9" t="inlineStr"/>
      <c r="J652" s="10">
        <f>IF(G652="","",G652-I652)</f>
        <v/>
      </c>
      <c r="K652" s="9" t="inlineStr"/>
      <c r="L652" s="9" t="inlineStr"/>
      <c r="M652" s="9">
        <f>IF(D652="","",IF(L652="انجام شده","انجام شده",IF(L652="لغو شده","لغو شده",IF(G652&lt;TODAY(),"عقب‌افتاده",IF(G652=TODAY(),"امروز",IF(G652&lt;=TODAY()+7,"تا ۷ روز",IF(G652&lt;=TODAY()+15,"تا ۱۵ روز","آینده")))))))</f>
        <v/>
      </c>
      <c r="N652" s="9" t="inlineStr"/>
      <c r="O652" s="9" t="inlineStr"/>
      <c r="P652" s="10" t="inlineStr"/>
      <c r="Q652" s="9" t="inlineStr"/>
      <c r="R652" s="9" t="inlineStr"/>
      <c r="S652" s="9" t="inlineStr"/>
      <c r="T652" s="9" t="inlineStr"/>
    </row>
    <row r="653">
      <c r="A653" s="9" t="inlineStr"/>
      <c r="B653" s="9" t="inlineStr"/>
      <c r="C653" s="9" t="inlineStr"/>
      <c r="D653" s="9" t="inlineStr"/>
      <c r="E653" s="9" t="inlineStr"/>
      <c r="F653" s="9" t="inlineStr"/>
      <c r="G653" s="10" t="inlineStr"/>
      <c r="H653" s="9" t="inlineStr"/>
      <c r="I653" s="9" t="inlineStr"/>
      <c r="J653" s="10">
        <f>IF(G653="","",G653-I653)</f>
        <v/>
      </c>
      <c r="K653" s="9" t="inlineStr"/>
      <c r="L653" s="9" t="inlineStr"/>
      <c r="M653" s="9">
        <f>IF(D653="","",IF(L653="انجام شده","انجام شده",IF(L653="لغو شده","لغو شده",IF(G653&lt;TODAY(),"عقب‌افتاده",IF(G653=TODAY(),"امروز",IF(G653&lt;=TODAY()+7,"تا ۷ روز",IF(G653&lt;=TODAY()+15,"تا ۱۵ روز","آینده")))))))</f>
        <v/>
      </c>
      <c r="N653" s="9" t="inlineStr"/>
      <c r="O653" s="9" t="inlineStr"/>
      <c r="P653" s="10" t="inlineStr"/>
      <c r="Q653" s="9" t="inlineStr"/>
      <c r="R653" s="9" t="inlineStr"/>
      <c r="S653" s="9" t="inlineStr"/>
      <c r="T653" s="9" t="inlineStr"/>
    </row>
    <row r="654">
      <c r="A654" s="9" t="inlineStr"/>
      <c r="B654" s="9" t="inlineStr"/>
      <c r="C654" s="9" t="inlineStr"/>
      <c r="D654" s="9" t="inlineStr"/>
      <c r="E654" s="9" t="inlineStr"/>
      <c r="F654" s="9" t="inlineStr"/>
      <c r="G654" s="10" t="inlineStr"/>
      <c r="H654" s="9" t="inlineStr"/>
      <c r="I654" s="9" t="inlineStr"/>
      <c r="J654" s="10">
        <f>IF(G654="","",G654-I654)</f>
        <v/>
      </c>
      <c r="K654" s="9" t="inlineStr"/>
      <c r="L654" s="9" t="inlineStr"/>
      <c r="M654" s="9">
        <f>IF(D654="","",IF(L654="انجام شده","انجام شده",IF(L654="لغو شده","لغو شده",IF(G654&lt;TODAY(),"عقب‌افتاده",IF(G654=TODAY(),"امروز",IF(G654&lt;=TODAY()+7,"تا ۷ روز",IF(G654&lt;=TODAY()+15,"تا ۱۵ روز","آینده")))))))</f>
        <v/>
      </c>
      <c r="N654" s="9" t="inlineStr"/>
      <c r="O654" s="9" t="inlineStr"/>
      <c r="P654" s="10" t="inlineStr"/>
      <c r="Q654" s="9" t="inlineStr"/>
      <c r="R654" s="9" t="inlineStr"/>
      <c r="S654" s="9" t="inlineStr"/>
      <c r="T654" s="9" t="inlineStr"/>
    </row>
    <row r="655">
      <c r="A655" s="9" t="inlineStr"/>
      <c r="B655" s="9" t="inlineStr"/>
      <c r="C655" s="9" t="inlineStr"/>
      <c r="D655" s="9" t="inlineStr"/>
      <c r="E655" s="9" t="inlineStr"/>
      <c r="F655" s="9" t="inlineStr"/>
      <c r="G655" s="10" t="inlineStr"/>
      <c r="H655" s="9" t="inlineStr"/>
      <c r="I655" s="9" t="inlineStr"/>
      <c r="J655" s="10">
        <f>IF(G655="","",G655-I655)</f>
        <v/>
      </c>
      <c r="K655" s="9" t="inlineStr"/>
      <c r="L655" s="9" t="inlineStr"/>
      <c r="M655" s="9">
        <f>IF(D655="","",IF(L655="انجام شده","انجام شده",IF(L655="لغو شده","لغو شده",IF(G655&lt;TODAY(),"عقب‌افتاده",IF(G655=TODAY(),"امروز",IF(G655&lt;=TODAY()+7,"تا ۷ روز",IF(G655&lt;=TODAY()+15,"تا ۱۵ روز","آینده")))))))</f>
        <v/>
      </c>
      <c r="N655" s="9" t="inlineStr"/>
      <c r="O655" s="9" t="inlineStr"/>
      <c r="P655" s="10" t="inlineStr"/>
      <c r="Q655" s="9" t="inlineStr"/>
      <c r="R655" s="9" t="inlineStr"/>
      <c r="S655" s="9" t="inlineStr"/>
      <c r="T655" s="9" t="inlineStr"/>
    </row>
    <row r="656">
      <c r="A656" s="9" t="inlineStr"/>
      <c r="B656" s="9" t="inlineStr"/>
      <c r="C656" s="9" t="inlineStr"/>
      <c r="D656" s="9" t="inlineStr"/>
      <c r="E656" s="9" t="inlineStr"/>
      <c r="F656" s="9" t="inlineStr"/>
      <c r="G656" s="10" t="inlineStr"/>
      <c r="H656" s="9" t="inlineStr"/>
      <c r="I656" s="9" t="inlineStr"/>
      <c r="J656" s="10">
        <f>IF(G656="","",G656-I656)</f>
        <v/>
      </c>
      <c r="K656" s="9" t="inlineStr"/>
      <c r="L656" s="9" t="inlineStr"/>
      <c r="M656" s="9">
        <f>IF(D656="","",IF(L656="انجام شده","انجام شده",IF(L656="لغو شده","لغو شده",IF(G656&lt;TODAY(),"عقب‌افتاده",IF(G656=TODAY(),"امروز",IF(G656&lt;=TODAY()+7,"تا ۷ روز",IF(G656&lt;=TODAY()+15,"تا ۱۵ روز","آینده")))))))</f>
        <v/>
      </c>
      <c r="N656" s="9" t="inlineStr"/>
      <c r="O656" s="9" t="inlineStr"/>
      <c r="P656" s="10" t="inlineStr"/>
      <c r="Q656" s="9" t="inlineStr"/>
      <c r="R656" s="9" t="inlineStr"/>
      <c r="S656" s="9" t="inlineStr"/>
      <c r="T656" s="9" t="inlineStr"/>
    </row>
    <row r="657">
      <c r="A657" s="9" t="inlineStr"/>
      <c r="B657" s="9" t="inlineStr"/>
      <c r="C657" s="9" t="inlineStr"/>
      <c r="D657" s="9" t="inlineStr"/>
      <c r="E657" s="9" t="inlineStr"/>
      <c r="F657" s="9" t="inlineStr"/>
      <c r="G657" s="10" t="inlineStr"/>
      <c r="H657" s="9" t="inlineStr"/>
      <c r="I657" s="9" t="inlineStr"/>
      <c r="J657" s="10">
        <f>IF(G657="","",G657-I657)</f>
        <v/>
      </c>
      <c r="K657" s="9" t="inlineStr"/>
      <c r="L657" s="9" t="inlineStr"/>
      <c r="M657" s="9">
        <f>IF(D657="","",IF(L657="انجام شده","انجام شده",IF(L657="لغو شده","لغو شده",IF(G657&lt;TODAY(),"عقب‌افتاده",IF(G657=TODAY(),"امروز",IF(G657&lt;=TODAY()+7,"تا ۷ روز",IF(G657&lt;=TODAY()+15,"تا ۱۵ روز","آینده")))))))</f>
        <v/>
      </c>
      <c r="N657" s="9" t="inlineStr"/>
      <c r="O657" s="9" t="inlineStr"/>
      <c r="P657" s="10" t="inlineStr"/>
      <c r="Q657" s="9" t="inlineStr"/>
      <c r="R657" s="9" t="inlineStr"/>
      <c r="S657" s="9" t="inlineStr"/>
      <c r="T657" s="9" t="inlineStr"/>
    </row>
    <row r="658">
      <c r="A658" s="9" t="inlineStr"/>
      <c r="B658" s="9" t="inlineStr"/>
      <c r="C658" s="9" t="inlineStr"/>
      <c r="D658" s="9" t="inlineStr"/>
      <c r="E658" s="9" t="inlineStr"/>
      <c r="F658" s="9" t="inlineStr"/>
      <c r="G658" s="10" t="inlineStr"/>
      <c r="H658" s="9" t="inlineStr"/>
      <c r="I658" s="9" t="inlineStr"/>
      <c r="J658" s="10">
        <f>IF(G658="","",G658-I658)</f>
        <v/>
      </c>
      <c r="K658" s="9" t="inlineStr"/>
      <c r="L658" s="9" t="inlineStr"/>
      <c r="M658" s="9">
        <f>IF(D658="","",IF(L658="انجام شده","انجام شده",IF(L658="لغو شده","لغو شده",IF(G658&lt;TODAY(),"عقب‌افتاده",IF(G658=TODAY(),"امروز",IF(G658&lt;=TODAY()+7,"تا ۷ روز",IF(G658&lt;=TODAY()+15,"تا ۱۵ روز","آینده")))))))</f>
        <v/>
      </c>
      <c r="N658" s="9" t="inlineStr"/>
      <c r="O658" s="9" t="inlineStr"/>
      <c r="P658" s="10" t="inlineStr"/>
      <c r="Q658" s="9" t="inlineStr"/>
      <c r="R658" s="9" t="inlineStr"/>
      <c r="S658" s="9" t="inlineStr"/>
      <c r="T658" s="9" t="inlineStr"/>
    </row>
    <row r="659">
      <c r="A659" s="9" t="inlineStr"/>
      <c r="B659" s="9" t="inlineStr"/>
      <c r="C659" s="9" t="inlineStr"/>
      <c r="D659" s="9" t="inlineStr"/>
      <c r="E659" s="9" t="inlineStr"/>
      <c r="F659" s="9" t="inlineStr"/>
      <c r="G659" s="10" t="inlineStr"/>
      <c r="H659" s="9" t="inlineStr"/>
      <c r="I659" s="9" t="inlineStr"/>
      <c r="J659" s="10">
        <f>IF(G659="","",G659-I659)</f>
        <v/>
      </c>
      <c r="K659" s="9" t="inlineStr"/>
      <c r="L659" s="9" t="inlineStr"/>
      <c r="M659" s="9">
        <f>IF(D659="","",IF(L659="انجام شده","انجام شده",IF(L659="لغو شده","لغو شده",IF(G659&lt;TODAY(),"عقب‌افتاده",IF(G659=TODAY(),"امروز",IF(G659&lt;=TODAY()+7,"تا ۷ روز",IF(G659&lt;=TODAY()+15,"تا ۱۵ روز","آینده")))))))</f>
        <v/>
      </c>
      <c r="N659" s="9" t="inlineStr"/>
      <c r="O659" s="9" t="inlineStr"/>
      <c r="P659" s="10" t="inlineStr"/>
      <c r="Q659" s="9" t="inlineStr"/>
      <c r="R659" s="9" t="inlineStr"/>
      <c r="S659" s="9" t="inlineStr"/>
      <c r="T659" s="9" t="inlineStr"/>
    </row>
    <row r="660">
      <c r="A660" s="9" t="inlineStr"/>
      <c r="B660" s="9" t="inlineStr"/>
      <c r="C660" s="9" t="inlineStr"/>
      <c r="D660" s="9" t="inlineStr"/>
      <c r="E660" s="9" t="inlineStr"/>
      <c r="F660" s="9" t="inlineStr"/>
      <c r="G660" s="10" t="inlineStr"/>
      <c r="H660" s="9" t="inlineStr"/>
      <c r="I660" s="9" t="inlineStr"/>
      <c r="J660" s="10">
        <f>IF(G660="","",G660-I660)</f>
        <v/>
      </c>
      <c r="K660" s="9" t="inlineStr"/>
      <c r="L660" s="9" t="inlineStr"/>
      <c r="M660" s="9">
        <f>IF(D660="","",IF(L660="انجام شده","انجام شده",IF(L660="لغو شده","لغو شده",IF(G660&lt;TODAY(),"عقب‌افتاده",IF(G660=TODAY(),"امروز",IF(G660&lt;=TODAY()+7,"تا ۷ روز",IF(G660&lt;=TODAY()+15,"تا ۱۵ روز","آینده")))))))</f>
        <v/>
      </c>
      <c r="N660" s="9" t="inlineStr"/>
      <c r="O660" s="9" t="inlineStr"/>
      <c r="P660" s="10" t="inlineStr"/>
      <c r="Q660" s="9" t="inlineStr"/>
      <c r="R660" s="9" t="inlineStr"/>
      <c r="S660" s="9" t="inlineStr"/>
      <c r="T660" s="9" t="inlineStr"/>
    </row>
    <row r="661">
      <c r="A661" s="9" t="inlineStr"/>
      <c r="B661" s="9" t="inlineStr"/>
      <c r="C661" s="9" t="inlineStr"/>
      <c r="D661" s="9" t="inlineStr"/>
      <c r="E661" s="9" t="inlineStr"/>
      <c r="F661" s="9" t="inlineStr"/>
      <c r="G661" s="10" t="inlineStr"/>
      <c r="H661" s="9" t="inlineStr"/>
      <c r="I661" s="9" t="inlineStr"/>
      <c r="J661" s="10">
        <f>IF(G661="","",G661-I661)</f>
        <v/>
      </c>
      <c r="K661" s="9" t="inlineStr"/>
      <c r="L661" s="9" t="inlineStr"/>
      <c r="M661" s="9">
        <f>IF(D661="","",IF(L661="انجام شده","انجام شده",IF(L661="لغو شده","لغو شده",IF(G661&lt;TODAY(),"عقب‌افتاده",IF(G661=TODAY(),"امروز",IF(G661&lt;=TODAY()+7,"تا ۷ روز",IF(G661&lt;=TODAY()+15,"تا ۱۵ روز","آینده")))))))</f>
        <v/>
      </c>
      <c r="N661" s="9" t="inlineStr"/>
      <c r="O661" s="9" t="inlineStr"/>
      <c r="P661" s="10" t="inlineStr"/>
      <c r="Q661" s="9" t="inlineStr"/>
      <c r="R661" s="9" t="inlineStr"/>
      <c r="S661" s="9" t="inlineStr"/>
      <c r="T661" s="9" t="inlineStr"/>
    </row>
    <row r="662">
      <c r="A662" s="9" t="inlineStr"/>
      <c r="B662" s="9" t="inlineStr"/>
      <c r="C662" s="9" t="inlineStr"/>
      <c r="D662" s="9" t="inlineStr"/>
      <c r="E662" s="9" t="inlineStr"/>
      <c r="F662" s="9" t="inlineStr"/>
      <c r="G662" s="10" t="inlineStr"/>
      <c r="H662" s="9" t="inlineStr"/>
      <c r="I662" s="9" t="inlineStr"/>
      <c r="J662" s="10">
        <f>IF(G662="","",G662-I662)</f>
        <v/>
      </c>
      <c r="K662" s="9" t="inlineStr"/>
      <c r="L662" s="9" t="inlineStr"/>
      <c r="M662" s="9">
        <f>IF(D662="","",IF(L662="انجام شده","انجام شده",IF(L662="لغو شده","لغو شده",IF(G662&lt;TODAY(),"عقب‌افتاده",IF(G662=TODAY(),"امروز",IF(G662&lt;=TODAY()+7,"تا ۷ روز",IF(G662&lt;=TODAY()+15,"تا ۱۵ روز","آینده")))))))</f>
        <v/>
      </c>
      <c r="N662" s="9" t="inlineStr"/>
      <c r="O662" s="9" t="inlineStr"/>
      <c r="P662" s="10" t="inlineStr"/>
      <c r="Q662" s="9" t="inlineStr"/>
      <c r="R662" s="9" t="inlineStr"/>
      <c r="S662" s="9" t="inlineStr"/>
      <c r="T662" s="9" t="inlineStr"/>
    </row>
    <row r="663">
      <c r="A663" s="9" t="inlineStr"/>
      <c r="B663" s="9" t="inlineStr"/>
      <c r="C663" s="9" t="inlineStr"/>
      <c r="D663" s="9" t="inlineStr"/>
      <c r="E663" s="9" t="inlineStr"/>
      <c r="F663" s="9" t="inlineStr"/>
      <c r="G663" s="10" t="inlineStr"/>
      <c r="H663" s="9" t="inlineStr"/>
      <c r="I663" s="9" t="inlineStr"/>
      <c r="J663" s="10">
        <f>IF(G663="","",G663-I663)</f>
        <v/>
      </c>
      <c r="K663" s="9" t="inlineStr"/>
      <c r="L663" s="9" t="inlineStr"/>
      <c r="M663" s="9">
        <f>IF(D663="","",IF(L663="انجام شده","انجام شده",IF(L663="لغو شده","لغو شده",IF(G663&lt;TODAY(),"عقب‌افتاده",IF(G663=TODAY(),"امروز",IF(G663&lt;=TODAY()+7,"تا ۷ روز",IF(G663&lt;=TODAY()+15,"تا ۱۵ روز","آینده")))))))</f>
        <v/>
      </c>
      <c r="N663" s="9" t="inlineStr"/>
      <c r="O663" s="9" t="inlineStr"/>
      <c r="P663" s="10" t="inlineStr"/>
      <c r="Q663" s="9" t="inlineStr"/>
      <c r="R663" s="9" t="inlineStr"/>
      <c r="S663" s="9" t="inlineStr"/>
      <c r="T663" s="9" t="inlineStr"/>
    </row>
    <row r="664">
      <c r="A664" s="9" t="inlineStr"/>
      <c r="B664" s="9" t="inlineStr"/>
      <c r="C664" s="9" t="inlineStr"/>
      <c r="D664" s="9" t="inlineStr"/>
      <c r="E664" s="9" t="inlineStr"/>
      <c r="F664" s="9" t="inlineStr"/>
      <c r="G664" s="10" t="inlineStr"/>
      <c r="H664" s="9" t="inlineStr"/>
      <c r="I664" s="9" t="inlineStr"/>
      <c r="J664" s="10">
        <f>IF(G664="","",G664-I664)</f>
        <v/>
      </c>
      <c r="K664" s="9" t="inlineStr"/>
      <c r="L664" s="9" t="inlineStr"/>
      <c r="M664" s="9">
        <f>IF(D664="","",IF(L664="انجام شده","انجام شده",IF(L664="لغو شده","لغو شده",IF(G664&lt;TODAY(),"عقب‌افتاده",IF(G664=TODAY(),"امروز",IF(G664&lt;=TODAY()+7,"تا ۷ روز",IF(G664&lt;=TODAY()+15,"تا ۱۵ روز","آینده")))))))</f>
        <v/>
      </c>
      <c r="N664" s="9" t="inlineStr"/>
      <c r="O664" s="9" t="inlineStr"/>
      <c r="P664" s="10" t="inlineStr"/>
      <c r="Q664" s="9" t="inlineStr"/>
      <c r="R664" s="9" t="inlineStr"/>
      <c r="S664" s="9" t="inlineStr"/>
      <c r="T664" s="9" t="inlineStr"/>
    </row>
    <row r="665">
      <c r="A665" s="9" t="inlineStr"/>
      <c r="B665" s="9" t="inlineStr"/>
      <c r="C665" s="9" t="inlineStr"/>
      <c r="D665" s="9" t="inlineStr"/>
      <c r="E665" s="9" t="inlineStr"/>
      <c r="F665" s="9" t="inlineStr"/>
      <c r="G665" s="10" t="inlineStr"/>
      <c r="H665" s="9" t="inlineStr"/>
      <c r="I665" s="9" t="inlineStr"/>
      <c r="J665" s="10">
        <f>IF(G665="","",G665-I665)</f>
        <v/>
      </c>
      <c r="K665" s="9" t="inlineStr"/>
      <c r="L665" s="9" t="inlineStr"/>
      <c r="M665" s="9">
        <f>IF(D665="","",IF(L665="انجام شده","انجام شده",IF(L665="لغو شده","لغو شده",IF(G665&lt;TODAY(),"عقب‌افتاده",IF(G665=TODAY(),"امروز",IF(G665&lt;=TODAY()+7,"تا ۷ روز",IF(G665&lt;=TODAY()+15,"تا ۱۵ روز","آینده")))))))</f>
        <v/>
      </c>
      <c r="N665" s="9" t="inlineStr"/>
      <c r="O665" s="9" t="inlineStr"/>
      <c r="P665" s="10" t="inlineStr"/>
      <c r="Q665" s="9" t="inlineStr"/>
      <c r="R665" s="9" t="inlineStr"/>
      <c r="S665" s="9" t="inlineStr"/>
      <c r="T665" s="9" t="inlineStr"/>
    </row>
    <row r="666">
      <c r="A666" s="9" t="inlineStr"/>
      <c r="B666" s="9" t="inlineStr"/>
      <c r="C666" s="9" t="inlineStr"/>
      <c r="D666" s="9" t="inlineStr"/>
      <c r="E666" s="9" t="inlineStr"/>
      <c r="F666" s="9" t="inlineStr"/>
      <c r="G666" s="10" t="inlineStr"/>
      <c r="H666" s="9" t="inlineStr"/>
      <c r="I666" s="9" t="inlineStr"/>
      <c r="J666" s="10">
        <f>IF(G666="","",G666-I666)</f>
        <v/>
      </c>
      <c r="K666" s="9" t="inlineStr"/>
      <c r="L666" s="9" t="inlineStr"/>
      <c r="M666" s="9">
        <f>IF(D666="","",IF(L666="انجام شده","انجام شده",IF(L666="لغو شده","لغو شده",IF(G666&lt;TODAY(),"عقب‌افتاده",IF(G666=TODAY(),"امروز",IF(G666&lt;=TODAY()+7,"تا ۷ روز",IF(G666&lt;=TODAY()+15,"تا ۱۵ روز","آینده")))))))</f>
        <v/>
      </c>
      <c r="N666" s="9" t="inlineStr"/>
      <c r="O666" s="9" t="inlineStr"/>
      <c r="P666" s="10" t="inlineStr"/>
      <c r="Q666" s="9" t="inlineStr"/>
      <c r="R666" s="9" t="inlineStr"/>
      <c r="S666" s="9" t="inlineStr"/>
      <c r="T666" s="9" t="inlineStr"/>
    </row>
    <row r="667">
      <c r="A667" s="9" t="inlineStr"/>
      <c r="B667" s="9" t="inlineStr"/>
      <c r="C667" s="9" t="inlineStr"/>
      <c r="D667" s="9" t="inlineStr"/>
      <c r="E667" s="9" t="inlineStr"/>
      <c r="F667" s="9" t="inlineStr"/>
      <c r="G667" s="10" t="inlineStr"/>
      <c r="H667" s="9" t="inlineStr"/>
      <c r="I667" s="9" t="inlineStr"/>
      <c r="J667" s="10">
        <f>IF(G667="","",G667-I667)</f>
        <v/>
      </c>
      <c r="K667" s="9" t="inlineStr"/>
      <c r="L667" s="9" t="inlineStr"/>
      <c r="M667" s="9">
        <f>IF(D667="","",IF(L667="انجام شده","انجام شده",IF(L667="لغو شده","لغو شده",IF(G667&lt;TODAY(),"عقب‌افتاده",IF(G667=TODAY(),"امروز",IF(G667&lt;=TODAY()+7,"تا ۷ روز",IF(G667&lt;=TODAY()+15,"تا ۱۵ روز","آینده")))))))</f>
        <v/>
      </c>
      <c r="N667" s="9" t="inlineStr"/>
      <c r="O667" s="9" t="inlineStr"/>
      <c r="P667" s="10" t="inlineStr"/>
      <c r="Q667" s="9" t="inlineStr"/>
      <c r="R667" s="9" t="inlineStr"/>
      <c r="S667" s="9" t="inlineStr"/>
      <c r="T667" s="9" t="inlineStr"/>
    </row>
    <row r="668">
      <c r="A668" s="9" t="inlineStr"/>
      <c r="B668" s="9" t="inlineStr"/>
      <c r="C668" s="9" t="inlineStr"/>
      <c r="D668" s="9" t="inlineStr"/>
      <c r="E668" s="9" t="inlineStr"/>
      <c r="F668" s="9" t="inlineStr"/>
      <c r="G668" s="10" t="inlineStr"/>
      <c r="H668" s="9" t="inlineStr"/>
      <c r="I668" s="9" t="inlineStr"/>
      <c r="J668" s="10">
        <f>IF(G668="","",G668-I668)</f>
        <v/>
      </c>
      <c r="K668" s="9" t="inlineStr"/>
      <c r="L668" s="9" t="inlineStr"/>
      <c r="M668" s="9">
        <f>IF(D668="","",IF(L668="انجام شده","انجام شده",IF(L668="لغو شده","لغو شده",IF(G668&lt;TODAY(),"عقب‌افتاده",IF(G668=TODAY(),"امروز",IF(G668&lt;=TODAY()+7,"تا ۷ روز",IF(G668&lt;=TODAY()+15,"تا ۱۵ روز","آینده")))))))</f>
        <v/>
      </c>
      <c r="N668" s="9" t="inlineStr"/>
      <c r="O668" s="9" t="inlineStr"/>
      <c r="P668" s="10" t="inlineStr"/>
      <c r="Q668" s="9" t="inlineStr"/>
      <c r="R668" s="9" t="inlineStr"/>
      <c r="S668" s="9" t="inlineStr"/>
      <c r="T668" s="9" t="inlineStr"/>
    </row>
    <row r="669">
      <c r="A669" s="9" t="inlineStr"/>
      <c r="B669" s="9" t="inlineStr"/>
      <c r="C669" s="9" t="inlineStr"/>
      <c r="D669" s="9" t="inlineStr"/>
      <c r="E669" s="9" t="inlineStr"/>
      <c r="F669" s="9" t="inlineStr"/>
      <c r="G669" s="10" t="inlineStr"/>
      <c r="H669" s="9" t="inlineStr"/>
      <c r="I669" s="9" t="inlineStr"/>
      <c r="J669" s="10">
        <f>IF(G669="","",G669-I669)</f>
        <v/>
      </c>
      <c r="K669" s="9" t="inlineStr"/>
      <c r="L669" s="9" t="inlineStr"/>
      <c r="M669" s="9">
        <f>IF(D669="","",IF(L669="انجام شده","انجام شده",IF(L669="لغو شده","لغو شده",IF(G669&lt;TODAY(),"عقب‌افتاده",IF(G669=TODAY(),"امروز",IF(G669&lt;=TODAY()+7,"تا ۷ روز",IF(G669&lt;=TODAY()+15,"تا ۱۵ روز","آینده")))))))</f>
        <v/>
      </c>
      <c r="N669" s="9" t="inlineStr"/>
      <c r="O669" s="9" t="inlineStr"/>
      <c r="P669" s="10" t="inlineStr"/>
      <c r="Q669" s="9" t="inlineStr"/>
      <c r="R669" s="9" t="inlineStr"/>
      <c r="S669" s="9" t="inlineStr"/>
      <c r="T669" s="9" t="inlineStr"/>
    </row>
    <row r="670">
      <c r="A670" s="9" t="inlineStr"/>
      <c r="B670" s="9" t="inlineStr"/>
      <c r="C670" s="9" t="inlineStr"/>
      <c r="D670" s="9" t="inlineStr"/>
      <c r="E670" s="9" t="inlineStr"/>
      <c r="F670" s="9" t="inlineStr"/>
      <c r="G670" s="10" t="inlineStr"/>
      <c r="H670" s="9" t="inlineStr"/>
      <c r="I670" s="9" t="inlineStr"/>
      <c r="J670" s="10">
        <f>IF(G670="","",G670-I670)</f>
        <v/>
      </c>
      <c r="K670" s="9" t="inlineStr"/>
      <c r="L670" s="9" t="inlineStr"/>
      <c r="M670" s="9">
        <f>IF(D670="","",IF(L670="انجام شده","انجام شده",IF(L670="لغو شده","لغو شده",IF(G670&lt;TODAY(),"عقب‌افتاده",IF(G670=TODAY(),"امروز",IF(G670&lt;=TODAY()+7,"تا ۷ روز",IF(G670&lt;=TODAY()+15,"تا ۱۵ روز","آینده")))))))</f>
        <v/>
      </c>
      <c r="N670" s="9" t="inlineStr"/>
      <c r="O670" s="9" t="inlineStr"/>
      <c r="P670" s="10" t="inlineStr"/>
      <c r="Q670" s="9" t="inlineStr"/>
      <c r="R670" s="9" t="inlineStr"/>
      <c r="S670" s="9" t="inlineStr"/>
      <c r="T670" s="9" t="inlineStr"/>
    </row>
    <row r="671">
      <c r="A671" s="9" t="inlineStr"/>
      <c r="B671" s="9" t="inlineStr"/>
      <c r="C671" s="9" t="inlineStr"/>
      <c r="D671" s="9" t="inlineStr"/>
      <c r="E671" s="9" t="inlineStr"/>
      <c r="F671" s="9" t="inlineStr"/>
      <c r="G671" s="10" t="inlineStr"/>
      <c r="H671" s="9" t="inlineStr"/>
      <c r="I671" s="9" t="inlineStr"/>
      <c r="J671" s="10" t="inlineStr"/>
      <c r="K671" s="9" t="inlineStr"/>
      <c r="L671" s="9" t="inlineStr"/>
      <c r="M671" s="9" t="inlineStr"/>
      <c r="N671" s="9" t="inlineStr"/>
      <c r="O671" s="9" t="inlineStr"/>
      <c r="P671" s="10" t="inlineStr"/>
      <c r="Q671" s="9" t="inlineStr"/>
      <c r="R671" s="9" t="inlineStr"/>
      <c r="S671" s="9" t="inlineStr"/>
      <c r="T671" s="9" t="inlineStr"/>
    </row>
  </sheetData>
  <conditionalFormatting sqref="A2:T670">
    <cfRule type="expression" priority="1" dxfId="0">
      <formula>$M2="عقب‌افتاده"</formula>
    </cfRule>
    <cfRule type="expression" priority="2" dxfId="1">
      <formula>$M2="امروز"</formula>
    </cfRule>
    <cfRule type="expression" priority="3" dxfId="2">
      <formula>$M2="تا ۷ روز"</formula>
    </cfRule>
    <cfRule type="expression" priority="4" dxfId="3">
      <formula>$L2="انجام شده"</formula>
    </cfRule>
  </conditionalFormatting>
  <dataValidations count="6">
    <dataValidation sqref="B2:B670" showDropDown="0" showInputMessage="0" showErrorMessage="0" allowBlank="1" type="list">
      <formula1>'تنظیمات'!$A$3:$A$7</formula1>
    </dataValidation>
    <dataValidation sqref="C2:C670" showDropDown="0" showInputMessage="0" showErrorMessage="0" allowBlank="1" type="list">
      <formula1>'تنظیمات'!$E$2:$E$9</formula1>
    </dataValidation>
    <dataValidation sqref="E2:E670" showDropDown="0" showInputMessage="0" showErrorMessage="0" allowBlank="1" type="list">
      <formula1>'تنظیمات'!$D$2:$D$7</formula1>
    </dataValidation>
    <dataValidation sqref="K2:K670" showDropDown="0" showInputMessage="0" showErrorMessage="0" allowBlank="1" type="list">
      <formula1>'تنظیمات'!$C$2:$C$5</formula1>
    </dataValidation>
    <dataValidation sqref="L2:L670" showDropDown="0" showInputMessage="0" showErrorMessage="0" allowBlank="1" type="list">
      <formula1>'تنظیمات'!$B$2:$B$6</formula1>
    </dataValidation>
    <dataValidation sqref="O2:O670" showDropDown="0" showInputMessage="0" showErrorMessage="0" allowBlank="1" type="list">
      <formula1>'تنظیمات'!$H$2:$H$6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8" customWidth="1" min="3" max="3"/>
    <col width="20" customWidth="1" min="4" max="4"/>
    <col width="18" customWidth="1" min="5" max="5"/>
    <col width="18" customWidth="1" min="6" max="6"/>
    <col width="18" customWidth="1" min="7" max="7"/>
    <col width="35" customWidth="1" min="8" max="8"/>
    <col width="25" customWidth="1" min="9" max="9"/>
    <col width="20" customWidth="1" min="10" max="10"/>
    <col width="38" customWidth="1" min="11" max="11"/>
  </cols>
  <sheetData>
    <row r="1">
      <c r="A1" s="8" t="inlineStr">
        <is>
          <t>نام شرکت</t>
        </is>
      </c>
      <c r="B1" s="8" t="inlineStr">
        <is>
          <t>نوع مجموعه</t>
        </is>
      </c>
      <c r="C1" s="8" t="inlineStr">
        <is>
          <t>روز/ساعت حضور</t>
        </is>
      </c>
      <c r="D1" s="8" t="inlineStr">
        <is>
          <t>نرم‌افزار حسابداری</t>
        </is>
      </c>
      <c r="E1" s="8" t="inlineStr">
        <is>
          <t>مدیرعامل</t>
        </is>
      </c>
      <c r="F1" s="8" t="inlineStr">
        <is>
          <t>مدیر مالی</t>
        </is>
      </c>
      <c r="G1" s="8" t="inlineStr">
        <is>
          <t>شماره تماس</t>
        </is>
      </c>
      <c r="H1" s="8" t="inlineStr">
        <is>
          <t>آدرس</t>
        </is>
      </c>
      <c r="I1" s="8" t="inlineStr">
        <is>
          <t>نام کاربری سامانه مالیات</t>
        </is>
      </c>
      <c r="J1" s="8" t="inlineStr">
        <is>
          <t>کد کارگاه/بیمه</t>
        </is>
      </c>
      <c r="K1" s="8" t="inlineStr">
        <is>
          <t>توضیحات</t>
        </is>
      </c>
    </row>
    <row r="2">
      <c r="A2" s="9" t="inlineStr">
        <is>
          <t>موسسه شهر کتاب مرکزی</t>
        </is>
      </c>
      <c r="B2" s="9" t="inlineStr">
        <is>
          <t>موسسه</t>
        </is>
      </c>
      <c r="C2" s="9" t="inlineStr">
        <is>
          <t>شنبه کامل، دوشنبه نصف‌روز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>
        <is>
          <t>برنامه حضور طبق فایل متنی</t>
        </is>
      </c>
    </row>
    <row r="3">
      <c r="A3" s="9" t="inlineStr">
        <is>
          <t>فروشگاه شهر کتاب مرکزی</t>
        </is>
      </c>
      <c r="B3" s="9" t="inlineStr">
        <is>
          <t>فروشگاه</t>
        </is>
      </c>
      <c r="C3" s="9" t="inlineStr">
        <is>
          <t>چهارشنبه، دوشنبه نصف‌روز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>
        <is>
          <t>برنامه حضور طبق فایل متنی</t>
        </is>
      </c>
    </row>
    <row r="4">
      <c r="A4" s="9" t="inlineStr">
        <is>
          <t>رستگار صنعت پارس</t>
        </is>
      </c>
      <c r="B4" s="9" t="inlineStr">
        <is>
          <t>شرکت</t>
        </is>
      </c>
      <c r="C4" s="9" t="inlineStr">
        <is>
          <t>یکشنبه و سه‌شنبه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>
        <is>
          <t>برنامه حضور طبق فایل متنی</t>
        </is>
      </c>
    </row>
    <row r="5">
      <c r="A5" s="9" t="inlineStr">
        <is>
          <t>کیوان الکترونیک ایرانیان</t>
        </is>
      </c>
      <c r="B5" s="9" t="inlineStr">
        <is>
          <t>شرکت</t>
        </is>
      </c>
      <c r="C5" s="9" t="inlineStr">
        <is>
          <t>پنجشنبه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>
        <is>
          <t>برنامه حضور طبق فایل متنی</t>
        </is>
      </c>
    </row>
    <row r="6">
      <c r="A6" s="9" t="inlineStr">
        <is>
          <t>کیهان توسعه البرز</t>
        </is>
      </c>
      <c r="B6" s="9" t="inlineStr">
        <is>
          <t>شرکت</t>
        </is>
      </c>
      <c r="C6" s="9" t="inlineStr">
        <is>
          <t>روز حضور را تکمیل کنید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>
        <is>
          <t>شرکت پنجم در ادامه متن اضافه شد</t>
        </is>
      </c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28" customWidth="1" min="4" max="4"/>
    <col width="16" customWidth="1" min="5" max="5"/>
    <col width="52" customWidth="1" min="6" max="6"/>
  </cols>
  <sheetData>
    <row r="1">
      <c r="A1" s="8" t="inlineStr">
        <is>
          <t>ترتیب</t>
        </is>
      </c>
      <c r="B1" s="8" t="inlineStr">
        <is>
          <t>روز</t>
        </is>
      </c>
      <c r="C1" s="8" t="inlineStr">
        <is>
          <t>بازه حضور</t>
        </is>
      </c>
      <c r="D1" s="8" t="inlineStr">
        <is>
          <t>شرکت</t>
        </is>
      </c>
      <c r="E1" s="8" t="inlineStr">
        <is>
          <t>نوع حضور</t>
        </is>
      </c>
      <c r="F1" s="8" t="inlineStr">
        <is>
          <t>کارهای پیشنهادی همان روز</t>
        </is>
      </c>
    </row>
    <row r="2">
      <c r="A2" s="9" t="n">
        <v>1</v>
      </c>
      <c r="B2" s="9" t="inlineStr">
        <is>
          <t>شنبه</t>
        </is>
      </c>
      <c r="C2" s="9" t="inlineStr">
        <is>
          <t>کامل</t>
        </is>
      </c>
      <c r="D2" s="9" t="inlineStr">
        <is>
          <t>موسسه شهر کتاب مرکزی</t>
        </is>
      </c>
      <c r="E2" s="9" t="inlineStr">
        <is>
          <t>حضور ثابت</t>
        </is>
      </c>
      <c r="F2" s="9" t="inlineStr">
        <is>
          <t>بررسی بانک، صندوق، اسناد، پیگیری‌های باز و کارهای سررسید</t>
        </is>
      </c>
    </row>
    <row r="3">
      <c r="A3" s="9" t="n">
        <v>2</v>
      </c>
      <c r="B3" s="9" t="inlineStr">
        <is>
          <t>یکشنبه</t>
        </is>
      </c>
      <c r="C3" s="9" t="inlineStr">
        <is>
          <t>کامل</t>
        </is>
      </c>
      <c r="D3" s="9" t="inlineStr">
        <is>
          <t>رستگار صنعت پارس</t>
        </is>
      </c>
      <c r="E3" s="9" t="inlineStr">
        <is>
          <t>حضور ثابت</t>
        </is>
      </c>
      <c r="F3" s="9" t="inlineStr">
        <is>
          <t>ثبت اسناد، کنترل خرید/فروش، مغایرت بانکی، پیگیری‌ها</t>
        </is>
      </c>
    </row>
    <row r="4">
      <c r="A4" s="9" t="n">
        <v>3</v>
      </c>
      <c r="B4" s="9" t="inlineStr">
        <is>
          <t>دوشنبه</t>
        </is>
      </c>
      <c r="C4" s="9" t="inlineStr">
        <is>
          <t>صبح / نصف‌روز</t>
        </is>
      </c>
      <c r="D4" s="9" t="inlineStr">
        <is>
          <t>موسسه شهر کتاب مرکزی</t>
        </is>
      </c>
      <c r="E4" s="9" t="inlineStr">
        <is>
          <t>حضور ثابت</t>
        </is>
      </c>
      <c r="F4" s="9" t="inlineStr">
        <is>
          <t>کارهای فوری، پیگیری بیمه/حقوق/مالیات، کنترل اسناد</t>
        </is>
      </c>
    </row>
    <row r="5">
      <c r="A5" s="9" t="n">
        <v>4</v>
      </c>
      <c r="B5" s="9" t="inlineStr">
        <is>
          <t>دوشنبه</t>
        </is>
      </c>
      <c r="C5" s="9" t="inlineStr">
        <is>
          <t>عصر / نصف‌روز</t>
        </is>
      </c>
      <c r="D5" s="9" t="inlineStr">
        <is>
          <t>فروشگاه شهر کتاب مرکزی</t>
        </is>
      </c>
      <c r="E5" s="9" t="inlineStr">
        <is>
          <t>حضور ثابت</t>
        </is>
      </c>
      <c r="F5" s="9" t="inlineStr">
        <is>
          <t>کنترل فروش، صندوق، بانک، چک‌ها و بایگانی</t>
        </is>
      </c>
    </row>
    <row r="6">
      <c r="A6" s="9" t="n">
        <v>5</v>
      </c>
      <c r="B6" s="9" t="inlineStr">
        <is>
          <t>سه‌شنبه</t>
        </is>
      </c>
      <c r="C6" s="9" t="inlineStr">
        <is>
          <t>کامل</t>
        </is>
      </c>
      <c r="D6" s="9" t="inlineStr">
        <is>
          <t>رستگار صنعت پارس</t>
        </is>
      </c>
      <c r="E6" s="9" t="inlineStr">
        <is>
          <t>حضور ثابت</t>
        </is>
      </c>
      <c r="F6" s="9" t="inlineStr">
        <is>
          <t>رفع خطا، گزارش مدیریتی، کنترل اسناد و پرداخت‌ها</t>
        </is>
      </c>
    </row>
    <row r="7">
      <c r="A7" s="9" t="n">
        <v>6</v>
      </c>
      <c r="B7" s="9" t="inlineStr">
        <is>
          <t>چهارشنبه</t>
        </is>
      </c>
      <c r="C7" s="9" t="inlineStr">
        <is>
          <t>کامل</t>
        </is>
      </c>
      <c r="D7" s="9" t="inlineStr">
        <is>
          <t>فروشگاه شهر کتاب مرکزی</t>
        </is>
      </c>
      <c r="E7" s="9" t="inlineStr">
        <is>
          <t>حضور ثابت</t>
        </is>
      </c>
      <c r="F7" s="9" t="inlineStr">
        <is>
          <t>کنترل صندوق/بانک، فاکتورها، چک‌ها و گزارش هفتگی</t>
        </is>
      </c>
    </row>
    <row r="8">
      <c r="A8" s="9" t="n">
        <v>7</v>
      </c>
      <c r="B8" s="9" t="inlineStr">
        <is>
          <t>پنجشنبه</t>
        </is>
      </c>
      <c r="C8" s="9" t="inlineStr">
        <is>
          <t>کامل</t>
        </is>
      </c>
      <c r="D8" s="9" t="inlineStr">
        <is>
          <t>کیوان الکترونیک ایرانیان</t>
        </is>
      </c>
      <c r="E8" s="9" t="inlineStr">
        <is>
          <t>حضور ثابت</t>
        </is>
      </c>
      <c r="F8" s="9" t="inlineStr">
        <is>
          <t>کارهای هفته، سررسیدهای قانونی، مغایرت و گزارش‌ها</t>
        </is>
      </c>
    </row>
    <row r="9">
      <c r="A9" s="9" t="n">
        <v>8</v>
      </c>
      <c r="B9" s="9" t="inlineStr">
        <is>
          <t>نیازمند تکمیل</t>
        </is>
      </c>
      <c r="C9" s="9" t="inlineStr">
        <is>
          <t>نامشخص</t>
        </is>
      </c>
      <c r="D9" s="9" t="inlineStr">
        <is>
          <t>کیهان توسعه البرز</t>
        </is>
      </c>
      <c r="E9" s="9" t="inlineStr">
        <is>
          <t>تکمیل توسط کاربر</t>
        </is>
      </c>
      <c r="F9" s="9" t="inlineStr">
        <is>
          <t>روز حضور را مشخص کنید</t>
        </is>
      </c>
    </row>
    <row r="10">
      <c r="A10" s="9" t="inlineStr"/>
      <c r="B10" s="9" t="inlineStr"/>
      <c r="C10" s="9" t="inlineStr"/>
      <c r="D10" s="9" t="inlineStr"/>
      <c r="E10" s="9" t="inlineStr"/>
      <c r="F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6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12" customWidth="1" min="5" max="5"/>
    <col width="30" customWidth="1" min="6" max="6"/>
    <col width="14" customWidth="1" min="7" max="7"/>
    <col width="14" customWidth="1" min="8" max="8"/>
    <col width="35" customWidth="1" min="9" max="9"/>
  </cols>
  <sheetData>
    <row r="1">
      <c r="A1" s="8" t="inlineStr">
        <is>
          <t>تاریخ میلادی</t>
        </is>
      </c>
      <c r="B1" s="8" t="inlineStr">
        <is>
          <t>تاریخ شمسی</t>
        </is>
      </c>
      <c r="C1" s="8" t="inlineStr">
        <is>
          <t>ماه</t>
        </is>
      </c>
      <c r="D1" s="8" t="inlineStr">
        <is>
          <t>روز ماه</t>
        </is>
      </c>
      <c r="E1" s="8" t="inlineStr">
        <is>
          <t>فصل</t>
        </is>
      </c>
      <c r="F1" s="8" t="inlineStr">
        <is>
          <t>یادداشت</t>
        </is>
      </c>
      <c r="G1" s="8" t="inlineStr">
        <is>
          <t>تعداد سررسید</t>
        </is>
      </c>
      <c r="H1" s="8" t="inlineStr">
        <is>
          <t>تعداد کار باز</t>
        </is>
      </c>
      <c r="I1" s="8" t="inlineStr">
        <is>
          <t>توضیحات</t>
        </is>
      </c>
    </row>
    <row r="2">
      <c r="A2" s="10" t="n">
        <v>46102</v>
      </c>
      <c r="B2" s="9" t="inlineStr">
        <is>
          <t>1405/01/01</t>
        </is>
      </c>
      <c r="C2" s="9" t="inlineStr">
        <is>
          <t>فروردین</t>
        </is>
      </c>
      <c r="D2" s="9" t="n">
        <v>1</v>
      </c>
      <c r="E2" s="9" t="inlineStr">
        <is>
          <t>بهار</t>
        </is>
      </c>
      <c r="F2" s="9" t="inlineStr"/>
      <c r="G2" s="9">
        <f>COUNTIF('کارهای 1405'!$G:$G,A2)</f>
        <v/>
      </c>
      <c r="H2" s="9">
        <f>COUNTIFS('کارهای 1405'!$G:$G,A2,'کارهای 1405'!$L:$L,"&lt;&gt;انجام شده",'کارهای 1405'!$L:$L,"&lt;&gt;لغو شده")</f>
        <v/>
      </c>
      <c r="I2" s="9" t="inlineStr"/>
    </row>
    <row r="3">
      <c r="A3" s="10" t="n">
        <v>46103</v>
      </c>
      <c r="B3" s="9" t="inlineStr">
        <is>
          <t>1405/01/02</t>
        </is>
      </c>
      <c r="C3" s="9" t="inlineStr">
        <is>
          <t>فروردین</t>
        </is>
      </c>
      <c r="D3" s="9" t="n">
        <v>2</v>
      </c>
      <c r="E3" s="9" t="inlineStr">
        <is>
          <t>بهار</t>
        </is>
      </c>
      <c r="F3" s="9" t="inlineStr"/>
      <c r="G3" s="9">
        <f>COUNTIF('کارهای 1405'!$G:$G,A3)</f>
        <v/>
      </c>
      <c r="H3" s="9">
        <f>COUNTIFS('کارهای 1405'!$G:$G,A3,'کارهای 1405'!$L:$L,"&lt;&gt;انجام شده",'کارهای 1405'!$L:$L,"&lt;&gt;لغو شده")</f>
        <v/>
      </c>
      <c r="I3" s="9" t="inlineStr"/>
    </row>
    <row r="4">
      <c r="A4" s="10" t="n">
        <v>46104</v>
      </c>
      <c r="B4" s="9" t="inlineStr">
        <is>
          <t>1405/01/03</t>
        </is>
      </c>
      <c r="C4" s="9" t="inlineStr">
        <is>
          <t>فروردین</t>
        </is>
      </c>
      <c r="D4" s="9" t="n">
        <v>3</v>
      </c>
      <c r="E4" s="9" t="inlineStr">
        <is>
          <t>بهار</t>
        </is>
      </c>
      <c r="F4" s="9" t="inlineStr"/>
      <c r="G4" s="9">
        <f>COUNTIF('کارهای 1405'!$G:$G,A4)</f>
        <v/>
      </c>
      <c r="H4" s="9">
        <f>COUNTIFS('کارهای 1405'!$G:$G,A4,'کارهای 1405'!$L:$L,"&lt;&gt;انجام شده",'کارهای 1405'!$L:$L,"&lt;&gt;لغو شده")</f>
        <v/>
      </c>
      <c r="I4" s="9" t="inlineStr"/>
    </row>
    <row r="5">
      <c r="A5" s="10" t="n">
        <v>46105</v>
      </c>
      <c r="B5" s="9" t="inlineStr">
        <is>
          <t>1405/01/04</t>
        </is>
      </c>
      <c r="C5" s="9" t="inlineStr">
        <is>
          <t>فروردین</t>
        </is>
      </c>
      <c r="D5" s="9" t="n">
        <v>4</v>
      </c>
      <c r="E5" s="9" t="inlineStr">
        <is>
          <t>بهار</t>
        </is>
      </c>
      <c r="F5" s="9" t="inlineStr"/>
      <c r="G5" s="9">
        <f>COUNTIF('کارهای 1405'!$G:$G,A5)</f>
        <v/>
      </c>
      <c r="H5" s="9">
        <f>COUNTIFS('کارهای 1405'!$G:$G,A5,'کارهای 1405'!$L:$L,"&lt;&gt;انجام شده",'کارهای 1405'!$L:$L,"&lt;&gt;لغو شده")</f>
        <v/>
      </c>
      <c r="I5" s="9" t="inlineStr"/>
    </row>
    <row r="6">
      <c r="A6" s="10" t="n">
        <v>46106</v>
      </c>
      <c r="B6" s="9" t="inlineStr">
        <is>
          <t>1405/01/05</t>
        </is>
      </c>
      <c r="C6" s="9" t="inlineStr">
        <is>
          <t>فروردین</t>
        </is>
      </c>
      <c r="D6" s="9" t="n">
        <v>5</v>
      </c>
      <c r="E6" s="9" t="inlineStr">
        <is>
          <t>بهار</t>
        </is>
      </c>
      <c r="F6" s="9" t="inlineStr"/>
      <c r="G6" s="9">
        <f>COUNTIF('کارهای 1405'!$G:$G,A6)</f>
        <v/>
      </c>
      <c r="H6" s="9">
        <f>COUNTIFS('کارهای 1405'!$G:$G,A6,'کارهای 1405'!$L:$L,"&lt;&gt;انجام شده",'کارهای 1405'!$L:$L,"&lt;&gt;لغو شده")</f>
        <v/>
      </c>
      <c r="I6" s="9" t="inlineStr"/>
    </row>
    <row r="7">
      <c r="A7" s="10" t="n">
        <v>46107</v>
      </c>
      <c r="B7" s="9" t="inlineStr">
        <is>
          <t>1405/01/06</t>
        </is>
      </c>
      <c r="C7" s="9" t="inlineStr">
        <is>
          <t>فروردین</t>
        </is>
      </c>
      <c r="D7" s="9" t="n">
        <v>6</v>
      </c>
      <c r="E7" s="9" t="inlineStr">
        <is>
          <t>بهار</t>
        </is>
      </c>
      <c r="F7" s="9" t="inlineStr"/>
      <c r="G7" s="9">
        <f>COUNTIF('کارهای 1405'!$G:$G,A7)</f>
        <v/>
      </c>
      <c r="H7" s="9">
        <f>COUNTIFS('کارهای 1405'!$G:$G,A7,'کارهای 1405'!$L:$L,"&lt;&gt;انجام شده",'کارهای 1405'!$L:$L,"&lt;&gt;لغو شده")</f>
        <v/>
      </c>
      <c r="I7" s="9" t="inlineStr"/>
    </row>
    <row r="8">
      <c r="A8" s="10" t="n">
        <v>46108</v>
      </c>
      <c r="B8" s="9" t="inlineStr">
        <is>
          <t>1405/01/07</t>
        </is>
      </c>
      <c r="C8" s="9" t="inlineStr">
        <is>
          <t>فروردین</t>
        </is>
      </c>
      <c r="D8" s="9" t="n">
        <v>7</v>
      </c>
      <c r="E8" s="9" t="inlineStr">
        <is>
          <t>بهار</t>
        </is>
      </c>
      <c r="F8" s="9" t="inlineStr"/>
      <c r="G8" s="9">
        <f>COUNTIF('کارهای 1405'!$G:$G,A8)</f>
        <v/>
      </c>
      <c r="H8" s="9">
        <f>COUNTIFS('کارهای 1405'!$G:$G,A8,'کارهای 1405'!$L:$L,"&lt;&gt;انجام شده",'کارهای 1405'!$L:$L,"&lt;&gt;لغو شده")</f>
        <v/>
      </c>
      <c r="I8" s="9" t="inlineStr"/>
    </row>
    <row r="9">
      <c r="A9" s="10" t="n">
        <v>46109</v>
      </c>
      <c r="B9" s="9" t="inlineStr">
        <is>
          <t>1405/01/08</t>
        </is>
      </c>
      <c r="C9" s="9" t="inlineStr">
        <is>
          <t>فروردین</t>
        </is>
      </c>
      <c r="D9" s="9" t="n">
        <v>8</v>
      </c>
      <c r="E9" s="9" t="inlineStr">
        <is>
          <t>بهار</t>
        </is>
      </c>
      <c r="F9" s="9" t="inlineStr"/>
      <c r="G9" s="9">
        <f>COUNTIF('کارهای 1405'!$G:$G,A9)</f>
        <v/>
      </c>
      <c r="H9" s="9">
        <f>COUNTIFS('کارهای 1405'!$G:$G,A9,'کارهای 1405'!$L:$L,"&lt;&gt;انجام شده",'کارهای 1405'!$L:$L,"&lt;&gt;لغو شده")</f>
        <v/>
      </c>
      <c r="I9" s="9" t="inlineStr"/>
    </row>
    <row r="10">
      <c r="A10" s="10" t="n">
        <v>46110</v>
      </c>
      <c r="B10" s="9" t="inlineStr">
        <is>
          <t>1405/01/09</t>
        </is>
      </c>
      <c r="C10" s="9" t="inlineStr">
        <is>
          <t>فروردین</t>
        </is>
      </c>
      <c r="D10" s="9" t="n">
        <v>9</v>
      </c>
      <c r="E10" s="9" t="inlineStr">
        <is>
          <t>بهار</t>
        </is>
      </c>
      <c r="F10" s="9" t="inlineStr"/>
      <c r="G10" s="9">
        <f>COUNTIF('کارهای 1405'!$G:$G,A10)</f>
        <v/>
      </c>
      <c r="H10" s="9">
        <f>COUNTIFS('کارهای 1405'!$G:$G,A10,'کارهای 1405'!$L:$L,"&lt;&gt;انجام شده",'کارهای 1405'!$L:$L,"&lt;&gt;لغو شده")</f>
        <v/>
      </c>
      <c r="I10" s="9" t="inlineStr"/>
    </row>
    <row r="11">
      <c r="A11" s="10" t="n">
        <v>46111</v>
      </c>
      <c r="B11" s="9" t="inlineStr">
        <is>
          <t>1405/01/10</t>
        </is>
      </c>
      <c r="C11" s="9" t="inlineStr">
        <is>
          <t>فروردین</t>
        </is>
      </c>
      <c r="D11" s="9" t="n">
        <v>10</v>
      </c>
      <c r="E11" s="9" t="inlineStr">
        <is>
          <t>بهار</t>
        </is>
      </c>
      <c r="F11" s="9" t="inlineStr"/>
      <c r="G11" s="9">
        <f>COUNTIF('کارهای 1405'!$G:$G,A11)</f>
        <v/>
      </c>
      <c r="H11" s="9">
        <f>COUNTIFS('کارهای 1405'!$G:$G,A11,'کارهای 1405'!$L:$L,"&lt;&gt;انجام شده",'کارهای 1405'!$L:$L,"&lt;&gt;لغو شده")</f>
        <v/>
      </c>
      <c r="I11" s="9" t="inlineStr"/>
    </row>
    <row r="12">
      <c r="A12" s="10" t="n">
        <v>46112</v>
      </c>
      <c r="B12" s="9" t="inlineStr">
        <is>
          <t>1405/01/11</t>
        </is>
      </c>
      <c r="C12" s="9" t="inlineStr">
        <is>
          <t>فروردین</t>
        </is>
      </c>
      <c r="D12" s="9" t="n">
        <v>11</v>
      </c>
      <c r="E12" s="9" t="inlineStr">
        <is>
          <t>بهار</t>
        </is>
      </c>
      <c r="F12" s="9" t="inlineStr"/>
      <c r="G12" s="9">
        <f>COUNTIF('کارهای 1405'!$G:$G,A12)</f>
        <v/>
      </c>
      <c r="H12" s="9">
        <f>COUNTIFS('کارهای 1405'!$G:$G,A12,'کارهای 1405'!$L:$L,"&lt;&gt;انجام شده",'کارهای 1405'!$L:$L,"&lt;&gt;لغو شده")</f>
        <v/>
      </c>
      <c r="I12" s="9" t="inlineStr"/>
    </row>
    <row r="13">
      <c r="A13" s="10" t="n">
        <v>46113</v>
      </c>
      <c r="B13" s="9" t="inlineStr">
        <is>
          <t>1405/01/12</t>
        </is>
      </c>
      <c r="C13" s="9" t="inlineStr">
        <is>
          <t>فروردین</t>
        </is>
      </c>
      <c r="D13" s="9" t="n">
        <v>12</v>
      </c>
      <c r="E13" s="9" t="inlineStr">
        <is>
          <t>بهار</t>
        </is>
      </c>
      <c r="F13" s="9" t="inlineStr"/>
      <c r="G13" s="9">
        <f>COUNTIF('کارهای 1405'!$G:$G,A13)</f>
        <v/>
      </c>
      <c r="H13" s="9">
        <f>COUNTIFS('کارهای 1405'!$G:$G,A13,'کارهای 1405'!$L:$L,"&lt;&gt;انجام شده",'کارهای 1405'!$L:$L,"&lt;&gt;لغو شده")</f>
        <v/>
      </c>
      <c r="I13" s="9" t="inlineStr"/>
    </row>
    <row r="14">
      <c r="A14" s="10" t="n">
        <v>46114</v>
      </c>
      <c r="B14" s="9" t="inlineStr">
        <is>
          <t>1405/01/13</t>
        </is>
      </c>
      <c r="C14" s="9" t="inlineStr">
        <is>
          <t>فروردین</t>
        </is>
      </c>
      <c r="D14" s="9" t="n">
        <v>13</v>
      </c>
      <c r="E14" s="9" t="inlineStr">
        <is>
          <t>بهار</t>
        </is>
      </c>
      <c r="F14" s="9" t="inlineStr"/>
      <c r="G14" s="9">
        <f>COUNTIF('کارهای 1405'!$G:$G,A14)</f>
        <v/>
      </c>
      <c r="H14" s="9">
        <f>COUNTIFS('کارهای 1405'!$G:$G,A14,'کارهای 1405'!$L:$L,"&lt;&gt;انجام شده",'کارهای 1405'!$L:$L,"&lt;&gt;لغو شده")</f>
        <v/>
      </c>
      <c r="I14" s="9" t="inlineStr"/>
    </row>
    <row r="15">
      <c r="A15" s="10" t="n">
        <v>46115</v>
      </c>
      <c r="B15" s="9" t="inlineStr">
        <is>
          <t>1405/01/14</t>
        </is>
      </c>
      <c r="C15" s="9" t="inlineStr">
        <is>
          <t>فروردین</t>
        </is>
      </c>
      <c r="D15" s="9" t="n">
        <v>14</v>
      </c>
      <c r="E15" s="9" t="inlineStr">
        <is>
          <t>بهار</t>
        </is>
      </c>
      <c r="F15" s="9" t="inlineStr"/>
      <c r="G15" s="9">
        <f>COUNTIF('کارهای 1405'!$G:$G,A15)</f>
        <v/>
      </c>
      <c r="H15" s="9">
        <f>COUNTIFS('کارهای 1405'!$G:$G,A15,'کارهای 1405'!$L:$L,"&lt;&gt;انجام شده",'کارهای 1405'!$L:$L,"&lt;&gt;لغو شده")</f>
        <v/>
      </c>
      <c r="I15" s="9" t="inlineStr"/>
    </row>
    <row r="16">
      <c r="A16" s="10" t="n">
        <v>46116</v>
      </c>
      <c r="B16" s="9" t="inlineStr">
        <is>
          <t>1405/01/15</t>
        </is>
      </c>
      <c r="C16" s="9" t="inlineStr">
        <is>
          <t>فروردین</t>
        </is>
      </c>
      <c r="D16" s="9" t="n">
        <v>15</v>
      </c>
      <c r="E16" s="9" t="inlineStr">
        <is>
          <t>بهار</t>
        </is>
      </c>
      <c r="F16" s="9" t="inlineStr"/>
      <c r="G16" s="9">
        <f>COUNTIF('کارهای 1405'!$G:$G,A16)</f>
        <v/>
      </c>
      <c r="H16" s="9">
        <f>COUNTIFS('کارهای 1405'!$G:$G,A16,'کارهای 1405'!$L:$L,"&lt;&gt;انجام شده",'کارهای 1405'!$L:$L,"&lt;&gt;لغو شده")</f>
        <v/>
      </c>
      <c r="I16" s="9" t="inlineStr"/>
    </row>
    <row r="17">
      <c r="A17" s="10" t="n">
        <v>46117</v>
      </c>
      <c r="B17" s="9" t="inlineStr">
        <is>
          <t>1405/01/16</t>
        </is>
      </c>
      <c r="C17" s="9" t="inlineStr">
        <is>
          <t>فروردین</t>
        </is>
      </c>
      <c r="D17" s="9" t="n">
        <v>16</v>
      </c>
      <c r="E17" s="9" t="inlineStr">
        <is>
          <t>بهار</t>
        </is>
      </c>
      <c r="F17" s="9" t="inlineStr"/>
      <c r="G17" s="9">
        <f>COUNTIF('کارهای 1405'!$G:$G,A17)</f>
        <v/>
      </c>
      <c r="H17" s="9">
        <f>COUNTIFS('کارهای 1405'!$G:$G,A17,'کارهای 1405'!$L:$L,"&lt;&gt;انجام شده",'کارهای 1405'!$L:$L,"&lt;&gt;لغو شده")</f>
        <v/>
      </c>
      <c r="I17" s="9" t="inlineStr"/>
    </row>
    <row r="18">
      <c r="A18" s="10" t="n">
        <v>46118</v>
      </c>
      <c r="B18" s="9" t="inlineStr">
        <is>
          <t>1405/01/17</t>
        </is>
      </c>
      <c r="C18" s="9" t="inlineStr">
        <is>
          <t>فروردین</t>
        </is>
      </c>
      <c r="D18" s="9" t="n">
        <v>17</v>
      </c>
      <c r="E18" s="9" t="inlineStr">
        <is>
          <t>بهار</t>
        </is>
      </c>
      <c r="F18" s="9" t="inlineStr"/>
      <c r="G18" s="9">
        <f>COUNTIF('کارهای 1405'!$G:$G,A18)</f>
        <v/>
      </c>
      <c r="H18" s="9">
        <f>COUNTIFS('کارهای 1405'!$G:$G,A18,'کارهای 1405'!$L:$L,"&lt;&gt;انجام شده",'کارهای 1405'!$L:$L,"&lt;&gt;لغو شده")</f>
        <v/>
      </c>
      <c r="I18" s="9" t="inlineStr"/>
    </row>
    <row r="19">
      <c r="A19" s="10" t="n">
        <v>46119</v>
      </c>
      <c r="B19" s="9" t="inlineStr">
        <is>
          <t>1405/01/18</t>
        </is>
      </c>
      <c r="C19" s="9" t="inlineStr">
        <is>
          <t>فروردین</t>
        </is>
      </c>
      <c r="D19" s="9" t="n">
        <v>18</v>
      </c>
      <c r="E19" s="9" t="inlineStr">
        <is>
          <t>بهار</t>
        </is>
      </c>
      <c r="F19" s="9" t="inlineStr"/>
      <c r="G19" s="9">
        <f>COUNTIF('کارهای 1405'!$G:$G,A19)</f>
        <v/>
      </c>
      <c r="H19" s="9">
        <f>COUNTIFS('کارهای 1405'!$G:$G,A19,'کارهای 1405'!$L:$L,"&lt;&gt;انجام شده",'کارهای 1405'!$L:$L,"&lt;&gt;لغو شده")</f>
        <v/>
      </c>
      <c r="I19" s="9" t="inlineStr"/>
    </row>
    <row r="20">
      <c r="A20" s="10" t="n">
        <v>46120</v>
      </c>
      <c r="B20" s="9" t="inlineStr">
        <is>
          <t>1405/01/19</t>
        </is>
      </c>
      <c r="C20" s="9" t="inlineStr">
        <is>
          <t>فروردین</t>
        </is>
      </c>
      <c r="D20" s="9" t="n">
        <v>19</v>
      </c>
      <c r="E20" s="9" t="inlineStr">
        <is>
          <t>بهار</t>
        </is>
      </c>
      <c r="F20" s="9" t="inlineStr"/>
      <c r="G20" s="9">
        <f>COUNTIF('کارهای 1405'!$G:$G,A20)</f>
        <v/>
      </c>
      <c r="H20" s="9">
        <f>COUNTIFS('کارهای 1405'!$G:$G,A20,'کارهای 1405'!$L:$L,"&lt;&gt;انجام شده",'کارهای 1405'!$L:$L,"&lt;&gt;لغو شده")</f>
        <v/>
      </c>
      <c r="I20" s="9" t="inlineStr"/>
    </row>
    <row r="21">
      <c r="A21" s="10" t="n">
        <v>46121</v>
      </c>
      <c r="B21" s="9" t="inlineStr">
        <is>
          <t>1405/01/20</t>
        </is>
      </c>
      <c r="C21" s="9" t="inlineStr">
        <is>
          <t>فروردین</t>
        </is>
      </c>
      <c r="D21" s="9" t="n">
        <v>20</v>
      </c>
      <c r="E21" s="9" t="inlineStr">
        <is>
          <t>بهار</t>
        </is>
      </c>
      <c r="F21" s="9" t="inlineStr"/>
      <c r="G21" s="9">
        <f>COUNTIF('کارهای 1405'!$G:$G,A21)</f>
        <v/>
      </c>
      <c r="H21" s="9">
        <f>COUNTIFS('کارهای 1405'!$G:$G,A21,'کارهای 1405'!$L:$L,"&lt;&gt;انجام شده",'کارهای 1405'!$L:$L,"&lt;&gt;لغو شده")</f>
        <v/>
      </c>
      <c r="I21" s="9" t="inlineStr"/>
    </row>
    <row r="22">
      <c r="A22" s="10" t="n">
        <v>46122</v>
      </c>
      <c r="B22" s="9" t="inlineStr">
        <is>
          <t>1405/01/21</t>
        </is>
      </c>
      <c r="C22" s="9" t="inlineStr">
        <is>
          <t>فروردین</t>
        </is>
      </c>
      <c r="D22" s="9" t="n">
        <v>21</v>
      </c>
      <c r="E22" s="9" t="inlineStr">
        <is>
          <t>بهار</t>
        </is>
      </c>
      <c r="F22" s="9" t="inlineStr"/>
      <c r="G22" s="9">
        <f>COUNTIF('کارهای 1405'!$G:$G,A22)</f>
        <v/>
      </c>
      <c r="H22" s="9">
        <f>COUNTIFS('کارهای 1405'!$G:$G,A22,'کارهای 1405'!$L:$L,"&lt;&gt;انجام شده",'کارهای 1405'!$L:$L,"&lt;&gt;لغو شده")</f>
        <v/>
      </c>
      <c r="I22" s="9" t="inlineStr"/>
    </row>
    <row r="23">
      <c r="A23" s="10" t="n">
        <v>46123</v>
      </c>
      <c r="B23" s="9" t="inlineStr">
        <is>
          <t>1405/01/22</t>
        </is>
      </c>
      <c r="C23" s="9" t="inlineStr">
        <is>
          <t>فروردین</t>
        </is>
      </c>
      <c r="D23" s="9" t="n">
        <v>22</v>
      </c>
      <c r="E23" s="9" t="inlineStr">
        <is>
          <t>بهار</t>
        </is>
      </c>
      <c r="F23" s="9" t="inlineStr"/>
      <c r="G23" s="9">
        <f>COUNTIF('کارهای 1405'!$G:$G,A23)</f>
        <v/>
      </c>
      <c r="H23" s="9">
        <f>COUNTIFS('کارهای 1405'!$G:$G,A23,'کارهای 1405'!$L:$L,"&lt;&gt;انجام شده",'کارهای 1405'!$L:$L,"&lt;&gt;لغو شده")</f>
        <v/>
      </c>
      <c r="I23" s="9" t="inlineStr"/>
    </row>
    <row r="24">
      <c r="A24" s="10" t="n">
        <v>46124</v>
      </c>
      <c r="B24" s="9" t="inlineStr">
        <is>
          <t>1405/01/23</t>
        </is>
      </c>
      <c r="C24" s="9" t="inlineStr">
        <is>
          <t>فروردین</t>
        </is>
      </c>
      <c r="D24" s="9" t="n">
        <v>23</v>
      </c>
      <c r="E24" s="9" t="inlineStr">
        <is>
          <t>بهار</t>
        </is>
      </c>
      <c r="F24" s="9" t="inlineStr"/>
      <c r="G24" s="9">
        <f>COUNTIF('کارهای 1405'!$G:$G,A24)</f>
        <v/>
      </c>
      <c r="H24" s="9">
        <f>COUNTIFS('کارهای 1405'!$G:$G,A24,'کارهای 1405'!$L:$L,"&lt;&gt;انجام شده",'کارهای 1405'!$L:$L,"&lt;&gt;لغو شده")</f>
        <v/>
      </c>
      <c r="I24" s="9" t="inlineStr"/>
    </row>
    <row r="25">
      <c r="A25" s="10" t="n">
        <v>46125</v>
      </c>
      <c r="B25" s="9" t="inlineStr">
        <is>
          <t>1405/01/24</t>
        </is>
      </c>
      <c r="C25" s="9" t="inlineStr">
        <is>
          <t>فروردین</t>
        </is>
      </c>
      <c r="D25" s="9" t="n">
        <v>24</v>
      </c>
      <c r="E25" s="9" t="inlineStr">
        <is>
          <t>بهار</t>
        </is>
      </c>
      <c r="F25" s="9" t="inlineStr"/>
      <c r="G25" s="9">
        <f>COUNTIF('کارهای 1405'!$G:$G,A25)</f>
        <v/>
      </c>
      <c r="H25" s="9">
        <f>COUNTIFS('کارهای 1405'!$G:$G,A25,'کارهای 1405'!$L:$L,"&lt;&gt;انجام شده",'کارهای 1405'!$L:$L,"&lt;&gt;لغو شده")</f>
        <v/>
      </c>
      <c r="I25" s="9" t="inlineStr"/>
    </row>
    <row r="26">
      <c r="A26" s="10" t="n">
        <v>46126</v>
      </c>
      <c r="B26" s="9" t="inlineStr">
        <is>
          <t>1405/01/25</t>
        </is>
      </c>
      <c r="C26" s="9" t="inlineStr">
        <is>
          <t>فروردین</t>
        </is>
      </c>
      <c r="D26" s="9" t="n">
        <v>25</v>
      </c>
      <c r="E26" s="9" t="inlineStr">
        <is>
          <t>بهار</t>
        </is>
      </c>
      <c r="F26" s="9" t="inlineStr"/>
      <c r="G26" s="9">
        <f>COUNTIF('کارهای 1405'!$G:$G,A26)</f>
        <v/>
      </c>
      <c r="H26" s="9">
        <f>COUNTIFS('کارهای 1405'!$G:$G,A26,'کارهای 1405'!$L:$L,"&lt;&gt;انجام شده",'کارهای 1405'!$L:$L,"&lt;&gt;لغو شده")</f>
        <v/>
      </c>
      <c r="I26" s="9" t="inlineStr"/>
    </row>
    <row r="27">
      <c r="A27" s="10" t="n">
        <v>46127</v>
      </c>
      <c r="B27" s="9" t="inlineStr">
        <is>
          <t>1405/01/26</t>
        </is>
      </c>
      <c r="C27" s="9" t="inlineStr">
        <is>
          <t>فروردین</t>
        </is>
      </c>
      <c r="D27" s="9" t="n">
        <v>26</v>
      </c>
      <c r="E27" s="9" t="inlineStr">
        <is>
          <t>بهار</t>
        </is>
      </c>
      <c r="F27" s="9" t="inlineStr"/>
      <c r="G27" s="9">
        <f>COUNTIF('کارهای 1405'!$G:$G,A27)</f>
        <v/>
      </c>
      <c r="H27" s="9">
        <f>COUNTIFS('کارهای 1405'!$G:$G,A27,'کارهای 1405'!$L:$L,"&lt;&gt;انجام شده",'کارهای 1405'!$L:$L,"&lt;&gt;لغو شده")</f>
        <v/>
      </c>
      <c r="I27" s="9" t="inlineStr"/>
    </row>
    <row r="28">
      <c r="A28" s="10" t="n">
        <v>46128</v>
      </c>
      <c r="B28" s="9" t="inlineStr">
        <is>
          <t>1405/01/27</t>
        </is>
      </c>
      <c r="C28" s="9" t="inlineStr">
        <is>
          <t>فروردین</t>
        </is>
      </c>
      <c r="D28" s="9" t="n">
        <v>27</v>
      </c>
      <c r="E28" s="9" t="inlineStr">
        <is>
          <t>بهار</t>
        </is>
      </c>
      <c r="F28" s="9" t="inlineStr"/>
      <c r="G28" s="9">
        <f>COUNTIF('کارهای 1405'!$G:$G,A28)</f>
        <v/>
      </c>
      <c r="H28" s="9">
        <f>COUNTIFS('کارهای 1405'!$G:$G,A28,'کارهای 1405'!$L:$L,"&lt;&gt;انجام شده",'کارهای 1405'!$L:$L,"&lt;&gt;لغو شده")</f>
        <v/>
      </c>
      <c r="I28" s="9" t="inlineStr"/>
    </row>
    <row r="29">
      <c r="A29" s="10" t="n">
        <v>46129</v>
      </c>
      <c r="B29" s="9" t="inlineStr">
        <is>
          <t>1405/01/28</t>
        </is>
      </c>
      <c r="C29" s="9" t="inlineStr">
        <is>
          <t>فروردین</t>
        </is>
      </c>
      <c r="D29" s="9" t="n">
        <v>28</v>
      </c>
      <c r="E29" s="9" t="inlineStr">
        <is>
          <t>بهار</t>
        </is>
      </c>
      <c r="F29" s="9" t="inlineStr"/>
      <c r="G29" s="9">
        <f>COUNTIF('کارهای 1405'!$G:$G,A29)</f>
        <v/>
      </c>
      <c r="H29" s="9">
        <f>COUNTIFS('کارهای 1405'!$G:$G,A29,'کارهای 1405'!$L:$L,"&lt;&gt;انجام شده",'کارهای 1405'!$L:$L,"&lt;&gt;لغو شده")</f>
        <v/>
      </c>
      <c r="I29" s="9" t="inlineStr"/>
    </row>
    <row r="30">
      <c r="A30" s="10" t="n">
        <v>46130</v>
      </c>
      <c r="B30" s="9" t="inlineStr">
        <is>
          <t>1405/01/29</t>
        </is>
      </c>
      <c r="C30" s="9" t="inlineStr">
        <is>
          <t>فروردین</t>
        </is>
      </c>
      <c r="D30" s="9" t="n">
        <v>29</v>
      </c>
      <c r="E30" s="9" t="inlineStr">
        <is>
          <t>بهار</t>
        </is>
      </c>
      <c r="F30" s="9" t="inlineStr"/>
      <c r="G30" s="9">
        <f>COUNTIF('کارهای 1405'!$G:$G,A30)</f>
        <v/>
      </c>
      <c r="H30" s="9">
        <f>COUNTIFS('کارهای 1405'!$G:$G,A30,'کارهای 1405'!$L:$L,"&lt;&gt;انجام شده",'کارهای 1405'!$L:$L,"&lt;&gt;لغو شده")</f>
        <v/>
      </c>
      <c r="I30" s="9" t="inlineStr"/>
    </row>
    <row r="31">
      <c r="A31" s="10" t="n">
        <v>46131</v>
      </c>
      <c r="B31" s="9" t="inlineStr">
        <is>
          <t>1405/01/30</t>
        </is>
      </c>
      <c r="C31" s="9" t="inlineStr">
        <is>
          <t>فروردین</t>
        </is>
      </c>
      <c r="D31" s="9" t="n">
        <v>30</v>
      </c>
      <c r="E31" s="9" t="inlineStr">
        <is>
          <t>بهار</t>
        </is>
      </c>
      <c r="F31" s="9" t="inlineStr"/>
      <c r="G31" s="9">
        <f>COUNTIF('کارهای 1405'!$G:$G,A31)</f>
        <v/>
      </c>
      <c r="H31" s="9">
        <f>COUNTIFS('کارهای 1405'!$G:$G,A31,'کارهای 1405'!$L:$L,"&lt;&gt;انجام شده",'کارهای 1405'!$L:$L,"&lt;&gt;لغو شده")</f>
        <v/>
      </c>
      <c r="I31" s="9" t="inlineStr"/>
    </row>
    <row r="32">
      <c r="A32" s="10" t="n">
        <v>46132</v>
      </c>
      <c r="B32" s="9" t="inlineStr">
        <is>
          <t>1405/01/31</t>
        </is>
      </c>
      <c r="C32" s="9" t="inlineStr">
        <is>
          <t>فروردین</t>
        </is>
      </c>
      <c r="D32" s="9" t="n">
        <v>31</v>
      </c>
      <c r="E32" s="9" t="inlineStr">
        <is>
          <t>بهار</t>
        </is>
      </c>
      <c r="F32" s="9" t="inlineStr"/>
      <c r="G32" s="9">
        <f>COUNTIF('کارهای 1405'!$G:$G,A32)</f>
        <v/>
      </c>
      <c r="H32" s="9">
        <f>COUNTIFS('کارهای 1405'!$G:$G,A32,'کارهای 1405'!$L:$L,"&lt;&gt;انجام شده",'کارهای 1405'!$L:$L,"&lt;&gt;لغو شده")</f>
        <v/>
      </c>
      <c r="I32" s="9" t="inlineStr"/>
    </row>
    <row r="33">
      <c r="A33" s="10" t="n">
        <v>46133</v>
      </c>
      <c r="B33" s="9" t="inlineStr">
        <is>
          <t>1405/02/01</t>
        </is>
      </c>
      <c r="C33" s="9" t="inlineStr">
        <is>
          <t>اردیبهشت</t>
        </is>
      </c>
      <c r="D33" s="9" t="n">
        <v>1</v>
      </c>
      <c r="E33" s="9" t="inlineStr">
        <is>
          <t>بهار</t>
        </is>
      </c>
      <c r="F33" s="9" t="inlineStr"/>
      <c r="G33" s="9">
        <f>COUNTIF('کارهای 1405'!$G:$G,A33)</f>
        <v/>
      </c>
      <c r="H33" s="9">
        <f>COUNTIFS('کارهای 1405'!$G:$G,A33,'کارهای 1405'!$L:$L,"&lt;&gt;انجام شده",'کارهای 1405'!$L:$L,"&lt;&gt;لغو شده")</f>
        <v/>
      </c>
      <c r="I33" s="9" t="inlineStr"/>
    </row>
    <row r="34">
      <c r="A34" s="10" t="n">
        <v>46134</v>
      </c>
      <c r="B34" s="9" t="inlineStr">
        <is>
          <t>1405/02/02</t>
        </is>
      </c>
      <c r="C34" s="9" t="inlineStr">
        <is>
          <t>اردیبهشت</t>
        </is>
      </c>
      <c r="D34" s="9" t="n">
        <v>2</v>
      </c>
      <c r="E34" s="9" t="inlineStr">
        <is>
          <t>بهار</t>
        </is>
      </c>
      <c r="F34" s="9" t="inlineStr"/>
      <c r="G34" s="9">
        <f>COUNTIF('کارهای 1405'!$G:$G,A34)</f>
        <v/>
      </c>
      <c r="H34" s="9">
        <f>COUNTIFS('کارهای 1405'!$G:$G,A34,'کارهای 1405'!$L:$L,"&lt;&gt;انجام شده",'کارهای 1405'!$L:$L,"&lt;&gt;لغو شده")</f>
        <v/>
      </c>
      <c r="I34" s="9" t="inlineStr"/>
    </row>
    <row r="35">
      <c r="A35" s="10" t="n">
        <v>46135</v>
      </c>
      <c r="B35" s="9" t="inlineStr">
        <is>
          <t>1405/02/03</t>
        </is>
      </c>
      <c r="C35" s="9" t="inlineStr">
        <is>
          <t>اردیبهشت</t>
        </is>
      </c>
      <c r="D35" s="9" t="n">
        <v>3</v>
      </c>
      <c r="E35" s="9" t="inlineStr">
        <is>
          <t>بهار</t>
        </is>
      </c>
      <c r="F35" s="9" t="inlineStr"/>
      <c r="G35" s="9">
        <f>COUNTIF('کارهای 1405'!$G:$G,A35)</f>
        <v/>
      </c>
      <c r="H35" s="9">
        <f>COUNTIFS('کارهای 1405'!$G:$G,A35,'کارهای 1405'!$L:$L,"&lt;&gt;انجام شده",'کارهای 1405'!$L:$L,"&lt;&gt;لغو شده")</f>
        <v/>
      </c>
      <c r="I35" s="9" t="inlineStr"/>
    </row>
    <row r="36">
      <c r="A36" s="10" t="n">
        <v>46136</v>
      </c>
      <c r="B36" s="9" t="inlineStr">
        <is>
          <t>1405/02/04</t>
        </is>
      </c>
      <c r="C36" s="9" t="inlineStr">
        <is>
          <t>اردیبهشت</t>
        </is>
      </c>
      <c r="D36" s="9" t="n">
        <v>4</v>
      </c>
      <c r="E36" s="9" t="inlineStr">
        <is>
          <t>بهار</t>
        </is>
      </c>
      <c r="F36" s="9" t="inlineStr"/>
      <c r="G36" s="9">
        <f>COUNTIF('کارهای 1405'!$G:$G,A36)</f>
        <v/>
      </c>
      <c r="H36" s="9">
        <f>COUNTIFS('کارهای 1405'!$G:$G,A36,'کارهای 1405'!$L:$L,"&lt;&gt;انجام شده",'کارهای 1405'!$L:$L,"&lt;&gt;لغو شده")</f>
        <v/>
      </c>
      <c r="I36" s="9" t="inlineStr"/>
    </row>
    <row r="37">
      <c r="A37" s="10" t="n">
        <v>46137</v>
      </c>
      <c r="B37" s="9" t="inlineStr">
        <is>
          <t>1405/02/05</t>
        </is>
      </c>
      <c r="C37" s="9" t="inlineStr">
        <is>
          <t>اردیبهشت</t>
        </is>
      </c>
      <c r="D37" s="9" t="n">
        <v>5</v>
      </c>
      <c r="E37" s="9" t="inlineStr">
        <is>
          <t>بهار</t>
        </is>
      </c>
      <c r="F37" s="9" t="inlineStr"/>
      <c r="G37" s="9">
        <f>COUNTIF('کارهای 1405'!$G:$G,A37)</f>
        <v/>
      </c>
      <c r="H37" s="9">
        <f>COUNTIFS('کارهای 1405'!$G:$G,A37,'کارهای 1405'!$L:$L,"&lt;&gt;انجام شده",'کارهای 1405'!$L:$L,"&lt;&gt;لغو شده")</f>
        <v/>
      </c>
      <c r="I37" s="9" t="inlineStr"/>
    </row>
    <row r="38">
      <c r="A38" s="10" t="n">
        <v>46138</v>
      </c>
      <c r="B38" s="9" t="inlineStr">
        <is>
          <t>1405/02/06</t>
        </is>
      </c>
      <c r="C38" s="9" t="inlineStr">
        <is>
          <t>اردیبهشت</t>
        </is>
      </c>
      <c r="D38" s="9" t="n">
        <v>6</v>
      </c>
      <c r="E38" s="9" t="inlineStr">
        <is>
          <t>بهار</t>
        </is>
      </c>
      <c r="F38" s="9" t="inlineStr"/>
      <c r="G38" s="9">
        <f>COUNTIF('کارهای 1405'!$G:$G,A38)</f>
        <v/>
      </c>
      <c r="H38" s="9">
        <f>COUNTIFS('کارهای 1405'!$G:$G,A38,'کارهای 1405'!$L:$L,"&lt;&gt;انجام شده",'کارهای 1405'!$L:$L,"&lt;&gt;لغو شده")</f>
        <v/>
      </c>
      <c r="I38" s="9" t="inlineStr"/>
    </row>
    <row r="39">
      <c r="A39" s="10" t="n">
        <v>46139</v>
      </c>
      <c r="B39" s="9" t="inlineStr">
        <is>
          <t>1405/02/07</t>
        </is>
      </c>
      <c r="C39" s="9" t="inlineStr">
        <is>
          <t>اردیبهشت</t>
        </is>
      </c>
      <c r="D39" s="9" t="n">
        <v>7</v>
      </c>
      <c r="E39" s="9" t="inlineStr">
        <is>
          <t>بهار</t>
        </is>
      </c>
      <c r="F39" s="9" t="inlineStr"/>
      <c r="G39" s="9">
        <f>COUNTIF('کارهای 1405'!$G:$G,A39)</f>
        <v/>
      </c>
      <c r="H39" s="9">
        <f>COUNTIFS('کارهای 1405'!$G:$G,A39,'کارهای 1405'!$L:$L,"&lt;&gt;انجام شده",'کارهای 1405'!$L:$L,"&lt;&gt;لغو شده")</f>
        <v/>
      </c>
      <c r="I39" s="9" t="inlineStr"/>
    </row>
    <row r="40">
      <c r="A40" s="10" t="n">
        <v>46140</v>
      </c>
      <c r="B40" s="9" t="inlineStr">
        <is>
          <t>1405/02/08</t>
        </is>
      </c>
      <c r="C40" s="9" t="inlineStr">
        <is>
          <t>اردیبهشت</t>
        </is>
      </c>
      <c r="D40" s="9" t="n">
        <v>8</v>
      </c>
      <c r="E40" s="9" t="inlineStr">
        <is>
          <t>بهار</t>
        </is>
      </c>
      <c r="F40" s="9" t="inlineStr"/>
      <c r="G40" s="9">
        <f>COUNTIF('کارهای 1405'!$G:$G,A40)</f>
        <v/>
      </c>
      <c r="H40" s="9">
        <f>COUNTIFS('کارهای 1405'!$G:$G,A40,'کارهای 1405'!$L:$L,"&lt;&gt;انجام شده",'کارهای 1405'!$L:$L,"&lt;&gt;لغو شده")</f>
        <v/>
      </c>
      <c r="I40" s="9" t="inlineStr"/>
    </row>
    <row r="41">
      <c r="A41" s="10" t="n">
        <v>46141</v>
      </c>
      <c r="B41" s="9" t="inlineStr">
        <is>
          <t>1405/02/09</t>
        </is>
      </c>
      <c r="C41" s="9" t="inlineStr">
        <is>
          <t>اردیبهشت</t>
        </is>
      </c>
      <c r="D41" s="9" t="n">
        <v>9</v>
      </c>
      <c r="E41" s="9" t="inlineStr">
        <is>
          <t>بهار</t>
        </is>
      </c>
      <c r="F41" s="9" t="inlineStr"/>
      <c r="G41" s="9">
        <f>COUNTIF('کارهای 1405'!$G:$G,A41)</f>
        <v/>
      </c>
      <c r="H41" s="9">
        <f>COUNTIFS('کارهای 1405'!$G:$G,A41,'کارهای 1405'!$L:$L,"&lt;&gt;انجام شده",'کارهای 1405'!$L:$L,"&lt;&gt;لغو شده")</f>
        <v/>
      </c>
      <c r="I41" s="9" t="inlineStr"/>
    </row>
    <row r="42">
      <c r="A42" s="10" t="n">
        <v>46142</v>
      </c>
      <c r="B42" s="9" t="inlineStr">
        <is>
          <t>1405/02/10</t>
        </is>
      </c>
      <c r="C42" s="9" t="inlineStr">
        <is>
          <t>اردیبهشت</t>
        </is>
      </c>
      <c r="D42" s="9" t="n">
        <v>10</v>
      </c>
      <c r="E42" s="9" t="inlineStr">
        <is>
          <t>بهار</t>
        </is>
      </c>
      <c r="F42" s="9" t="inlineStr"/>
      <c r="G42" s="9">
        <f>COUNTIF('کارهای 1405'!$G:$G,A42)</f>
        <v/>
      </c>
      <c r="H42" s="9">
        <f>COUNTIFS('کارهای 1405'!$G:$G,A42,'کارهای 1405'!$L:$L,"&lt;&gt;انجام شده",'کارهای 1405'!$L:$L,"&lt;&gt;لغو شده")</f>
        <v/>
      </c>
      <c r="I42" s="9" t="inlineStr"/>
    </row>
    <row r="43">
      <c r="A43" s="10" t="n">
        <v>46143</v>
      </c>
      <c r="B43" s="9" t="inlineStr">
        <is>
          <t>1405/02/11</t>
        </is>
      </c>
      <c r="C43" s="9" t="inlineStr">
        <is>
          <t>اردیبهشت</t>
        </is>
      </c>
      <c r="D43" s="9" t="n">
        <v>11</v>
      </c>
      <c r="E43" s="9" t="inlineStr">
        <is>
          <t>بهار</t>
        </is>
      </c>
      <c r="F43" s="9" t="inlineStr"/>
      <c r="G43" s="9">
        <f>COUNTIF('کارهای 1405'!$G:$G,A43)</f>
        <v/>
      </c>
      <c r="H43" s="9">
        <f>COUNTIFS('کارهای 1405'!$G:$G,A43,'کارهای 1405'!$L:$L,"&lt;&gt;انجام شده",'کارهای 1405'!$L:$L,"&lt;&gt;لغو شده")</f>
        <v/>
      </c>
      <c r="I43" s="9" t="inlineStr"/>
    </row>
    <row r="44">
      <c r="A44" s="10" t="n">
        <v>46144</v>
      </c>
      <c r="B44" s="9" t="inlineStr">
        <is>
          <t>1405/02/12</t>
        </is>
      </c>
      <c r="C44" s="9" t="inlineStr">
        <is>
          <t>اردیبهشت</t>
        </is>
      </c>
      <c r="D44" s="9" t="n">
        <v>12</v>
      </c>
      <c r="E44" s="9" t="inlineStr">
        <is>
          <t>بهار</t>
        </is>
      </c>
      <c r="F44" s="9" t="inlineStr"/>
      <c r="G44" s="9">
        <f>COUNTIF('کارهای 1405'!$G:$G,A44)</f>
        <v/>
      </c>
      <c r="H44" s="9">
        <f>COUNTIFS('کارهای 1405'!$G:$G,A44,'کارهای 1405'!$L:$L,"&lt;&gt;انجام شده",'کارهای 1405'!$L:$L,"&lt;&gt;لغو شده")</f>
        <v/>
      </c>
      <c r="I44" s="9" t="inlineStr"/>
    </row>
    <row r="45">
      <c r="A45" s="10" t="n">
        <v>46145</v>
      </c>
      <c r="B45" s="9" t="inlineStr">
        <is>
          <t>1405/02/13</t>
        </is>
      </c>
      <c r="C45" s="9" t="inlineStr">
        <is>
          <t>اردیبهشت</t>
        </is>
      </c>
      <c r="D45" s="9" t="n">
        <v>13</v>
      </c>
      <c r="E45" s="9" t="inlineStr">
        <is>
          <t>بهار</t>
        </is>
      </c>
      <c r="F45" s="9" t="inlineStr"/>
      <c r="G45" s="9">
        <f>COUNTIF('کارهای 1405'!$G:$G,A45)</f>
        <v/>
      </c>
      <c r="H45" s="9">
        <f>COUNTIFS('کارهای 1405'!$G:$G,A45,'کارهای 1405'!$L:$L,"&lt;&gt;انجام شده",'کارهای 1405'!$L:$L,"&lt;&gt;لغو شده")</f>
        <v/>
      </c>
      <c r="I45" s="9" t="inlineStr"/>
    </row>
    <row r="46">
      <c r="A46" s="10" t="n">
        <v>46146</v>
      </c>
      <c r="B46" s="9" t="inlineStr">
        <is>
          <t>1405/02/14</t>
        </is>
      </c>
      <c r="C46" s="9" t="inlineStr">
        <is>
          <t>اردیبهشت</t>
        </is>
      </c>
      <c r="D46" s="9" t="n">
        <v>14</v>
      </c>
      <c r="E46" s="9" t="inlineStr">
        <is>
          <t>بهار</t>
        </is>
      </c>
      <c r="F46" s="9" t="inlineStr"/>
      <c r="G46" s="9">
        <f>COUNTIF('کارهای 1405'!$G:$G,A46)</f>
        <v/>
      </c>
      <c r="H46" s="9">
        <f>COUNTIFS('کارهای 1405'!$G:$G,A46,'کارهای 1405'!$L:$L,"&lt;&gt;انجام شده",'کارهای 1405'!$L:$L,"&lt;&gt;لغو شده")</f>
        <v/>
      </c>
      <c r="I46" s="9" t="inlineStr"/>
    </row>
    <row r="47">
      <c r="A47" s="10" t="n">
        <v>46147</v>
      </c>
      <c r="B47" s="9" t="inlineStr">
        <is>
          <t>1405/02/15</t>
        </is>
      </c>
      <c r="C47" s="9" t="inlineStr">
        <is>
          <t>اردیبهشت</t>
        </is>
      </c>
      <c r="D47" s="9" t="n">
        <v>15</v>
      </c>
      <c r="E47" s="9" t="inlineStr">
        <is>
          <t>بهار</t>
        </is>
      </c>
      <c r="F47" s="9" t="inlineStr"/>
      <c r="G47" s="9">
        <f>COUNTIF('کارهای 1405'!$G:$G,A47)</f>
        <v/>
      </c>
      <c r="H47" s="9">
        <f>COUNTIFS('کارهای 1405'!$G:$G,A47,'کارهای 1405'!$L:$L,"&lt;&gt;انجام شده",'کارهای 1405'!$L:$L,"&lt;&gt;لغو شده")</f>
        <v/>
      </c>
      <c r="I47" s="9" t="inlineStr"/>
    </row>
    <row r="48">
      <c r="A48" s="10" t="n">
        <v>46148</v>
      </c>
      <c r="B48" s="9" t="inlineStr">
        <is>
          <t>1405/02/16</t>
        </is>
      </c>
      <c r="C48" s="9" t="inlineStr">
        <is>
          <t>اردیبهشت</t>
        </is>
      </c>
      <c r="D48" s="9" t="n">
        <v>16</v>
      </c>
      <c r="E48" s="9" t="inlineStr">
        <is>
          <t>بهار</t>
        </is>
      </c>
      <c r="F48" s="9" t="inlineStr"/>
      <c r="G48" s="9">
        <f>COUNTIF('کارهای 1405'!$G:$G,A48)</f>
        <v/>
      </c>
      <c r="H48" s="9">
        <f>COUNTIFS('کارهای 1405'!$G:$G,A48,'کارهای 1405'!$L:$L,"&lt;&gt;انجام شده",'کارهای 1405'!$L:$L,"&lt;&gt;لغو شده")</f>
        <v/>
      </c>
      <c r="I48" s="9" t="inlineStr"/>
    </row>
    <row r="49">
      <c r="A49" s="10" t="n">
        <v>46149</v>
      </c>
      <c r="B49" s="9" t="inlineStr">
        <is>
          <t>1405/02/17</t>
        </is>
      </c>
      <c r="C49" s="9" t="inlineStr">
        <is>
          <t>اردیبهشت</t>
        </is>
      </c>
      <c r="D49" s="9" t="n">
        <v>17</v>
      </c>
      <c r="E49" s="9" t="inlineStr">
        <is>
          <t>بهار</t>
        </is>
      </c>
      <c r="F49" s="9" t="inlineStr"/>
      <c r="G49" s="9">
        <f>COUNTIF('کارهای 1405'!$G:$G,A49)</f>
        <v/>
      </c>
      <c r="H49" s="9">
        <f>COUNTIFS('کارهای 1405'!$G:$G,A49,'کارهای 1405'!$L:$L,"&lt;&gt;انجام شده",'کارهای 1405'!$L:$L,"&lt;&gt;لغو شده")</f>
        <v/>
      </c>
      <c r="I49" s="9" t="inlineStr"/>
    </row>
    <row r="50">
      <c r="A50" s="10" t="n">
        <v>46150</v>
      </c>
      <c r="B50" s="9" t="inlineStr">
        <is>
          <t>1405/02/18</t>
        </is>
      </c>
      <c r="C50" s="9" t="inlineStr">
        <is>
          <t>اردیبهشت</t>
        </is>
      </c>
      <c r="D50" s="9" t="n">
        <v>18</v>
      </c>
      <c r="E50" s="9" t="inlineStr">
        <is>
          <t>بهار</t>
        </is>
      </c>
      <c r="F50" s="9" t="inlineStr"/>
      <c r="G50" s="9">
        <f>COUNTIF('کارهای 1405'!$G:$G,A50)</f>
        <v/>
      </c>
      <c r="H50" s="9">
        <f>COUNTIFS('کارهای 1405'!$G:$G,A50,'کارهای 1405'!$L:$L,"&lt;&gt;انجام شده",'کارهای 1405'!$L:$L,"&lt;&gt;لغو شده")</f>
        <v/>
      </c>
      <c r="I50" s="9" t="inlineStr"/>
    </row>
    <row r="51">
      <c r="A51" s="10" t="n">
        <v>46151</v>
      </c>
      <c r="B51" s="9" t="inlineStr">
        <is>
          <t>1405/02/19</t>
        </is>
      </c>
      <c r="C51" s="9" t="inlineStr">
        <is>
          <t>اردیبهشت</t>
        </is>
      </c>
      <c r="D51" s="9" t="n">
        <v>19</v>
      </c>
      <c r="E51" s="9" t="inlineStr">
        <is>
          <t>بهار</t>
        </is>
      </c>
      <c r="F51" s="9" t="inlineStr"/>
      <c r="G51" s="9">
        <f>COUNTIF('کارهای 1405'!$G:$G,A51)</f>
        <v/>
      </c>
      <c r="H51" s="9">
        <f>COUNTIFS('کارهای 1405'!$G:$G,A51,'کارهای 1405'!$L:$L,"&lt;&gt;انجام شده",'کارهای 1405'!$L:$L,"&lt;&gt;لغو شده")</f>
        <v/>
      </c>
      <c r="I51" s="9" t="inlineStr"/>
    </row>
    <row r="52">
      <c r="A52" s="10" t="n">
        <v>46152</v>
      </c>
      <c r="B52" s="9" t="inlineStr">
        <is>
          <t>1405/02/20</t>
        </is>
      </c>
      <c r="C52" s="9" t="inlineStr">
        <is>
          <t>اردیبهشت</t>
        </is>
      </c>
      <c r="D52" s="9" t="n">
        <v>20</v>
      </c>
      <c r="E52" s="9" t="inlineStr">
        <is>
          <t>بهار</t>
        </is>
      </c>
      <c r="F52" s="9" t="inlineStr"/>
      <c r="G52" s="9">
        <f>COUNTIF('کارهای 1405'!$G:$G,A52)</f>
        <v/>
      </c>
      <c r="H52" s="9">
        <f>COUNTIFS('کارهای 1405'!$G:$G,A52,'کارهای 1405'!$L:$L,"&lt;&gt;انجام شده",'کارهای 1405'!$L:$L,"&lt;&gt;لغو شده")</f>
        <v/>
      </c>
      <c r="I52" s="9" t="inlineStr"/>
    </row>
    <row r="53">
      <c r="A53" s="10" t="n">
        <v>46153</v>
      </c>
      <c r="B53" s="9" t="inlineStr">
        <is>
          <t>1405/02/21</t>
        </is>
      </c>
      <c r="C53" s="9" t="inlineStr">
        <is>
          <t>اردیبهشت</t>
        </is>
      </c>
      <c r="D53" s="9" t="n">
        <v>21</v>
      </c>
      <c r="E53" s="9" t="inlineStr">
        <is>
          <t>بهار</t>
        </is>
      </c>
      <c r="F53" s="9" t="inlineStr"/>
      <c r="G53" s="9">
        <f>COUNTIF('کارهای 1405'!$G:$G,A53)</f>
        <v/>
      </c>
      <c r="H53" s="9">
        <f>COUNTIFS('کارهای 1405'!$G:$G,A53,'کارهای 1405'!$L:$L,"&lt;&gt;انجام شده",'کارهای 1405'!$L:$L,"&lt;&gt;لغو شده")</f>
        <v/>
      </c>
      <c r="I53" s="9" t="inlineStr"/>
    </row>
    <row r="54">
      <c r="A54" s="10" t="n">
        <v>46154</v>
      </c>
      <c r="B54" s="9" t="inlineStr">
        <is>
          <t>1405/02/22</t>
        </is>
      </c>
      <c r="C54" s="9" t="inlineStr">
        <is>
          <t>اردیبهشت</t>
        </is>
      </c>
      <c r="D54" s="9" t="n">
        <v>22</v>
      </c>
      <c r="E54" s="9" t="inlineStr">
        <is>
          <t>بهار</t>
        </is>
      </c>
      <c r="F54" s="9" t="inlineStr"/>
      <c r="G54" s="9">
        <f>COUNTIF('کارهای 1405'!$G:$G,A54)</f>
        <v/>
      </c>
      <c r="H54" s="9">
        <f>COUNTIFS('کارهای 1405'!$G:$G,A54,'کارهای 1405'!$L:$L,"&lt;&gt;انجام شده",'کارهای 1405'!$L:$L,"&lt;&gt;لغو شده")</f>
        <v/>
      </c>
      <c r="I54" s="9" t="inlineStr"/>
    </row>
    <row r="55">
      <c r="A55" s="10" t="n">
        <v>46155</v>
      </c>
      <c r="B55" s="9" t="inlineStr">
        <is>
          <t>1405/02/23</t>
        </is>
      </c>
      <c r="C55" s="9" t="inlineStr">
        <is>
          <t>اردیبهشت</t>
        </is>
      </c>
      <c r="D55" s="9" t="n">
        <v>23</v>
      </c>
      <c r="E55" s="9" t="inlineStr">
        <is>
          <t>بهار</t>
        </is>
      </c>
      <c r="F55" s="9" t="inlineStr"/>
      <c r="G55" s="9">
        <f>COUNTIF('کارهای 1405'!$G:$G,A55)</f>
        <v/>
      </c>
      <c r="H55" s="9">
        <f>COUNTIFS('کارهای 1405'!$G:$G,A55,'کارهای 1405'!$L:$L,"&lt;&gt;انجام شده",'کارهای 1405'!$L:$L,"&lt;&gt;لغو شده")</f>
        <v/>
      </c>
      <c r="I55" s="9" t="inlineStr"/>
    </row>
    <row r="56">
      <c r="A56" s="10" t="n">
        <v>46156</v>
      </c>
      <c r="B56" s="9" t="inlineStr">
        <is>
          <t>1405/02/24</t>
        </is>
      </c>
      <c r="C56" s="9" t="inlineStr">
        <is>
          <t>اردیبهشت</t>
        </is>
      </c>
      <c r="D56" s="9" t="n">
        <v>24</v>
      </c>
      <c r="E56" s="9" t="inlineStr">
        <is>
          <t>بهار</t>
        </is>
      </c>
      <c r="F56" s="9" t="inlineStr"/>
      <c r="G56" s="9">
        <f>COUNTIF('کارهای 1405'!$G:$G,A56)</f>
        <v/>
      </c>
      <c r="H56" s="9">
        <f>COUNTIFS('کارهای 1405'!$G:$G,A56,'کارهای 1405'!$L:$L,"&lt;&gt;انجام شده",'کارهای 1405'!$L:$L,"&lt;&gt;لغو شده")</f>
        <v/>
      </c>
      <c r="I56" s="9" t="inlineStr"/>
    </row>
    <row r="57">
      <c r="A57" s="10" t="n">
        <v>46157</v>
      </c>
      <c r="B57" s="9" t="inlineStr">
        <is>
          <t>1405/02/25</t>
        </is>
      </c>
      <c r="C57" s="9" t="inlineStr">
        <is>
          <t>اردیبهشت</t>
        </is>
      </c>
      <c r="D57" s="9" t="n">
        <v>25</v>
      </c>
      <c r="E57" s="9" t="inlineStr">
        <is>
          <t>بهار</t>
        </is>
      </c>
      <c r="F57" s="9" t="inlineStr"/>
      <c r="G57" s="9">
        <f>COUNTIF('کارهای 1405'!$G:$G,A57)</f>
        <v/>
      </c>
      <c r="H57" s="9">
        <f>COUNTIFS('کارهای 1405'!$G:$G,A57,'کارهای 1405'!$L:$L,"&lt;&gt;انجام شده",'کارهای 1405'!$L:$L,"&lt;&gt;لغو شده")</f>
        <v/>
      </c>
      <c r="I57" s="9" t="inlineStr"/>
    </row>
    <row r="58">
      <c r="A58" s="10" t="n">
        <v>46158</v>
      </c>
      <c r="B58" s="9" t="inlineStr">
        <is>
          <t>1405/02/26</t>
        </is>
      </c>
      <c r="C58" s="9" t="inlineStr">
        <is>
          <t>اردیبهشت</t>
        </is>
      </c>
      <c r="D58" s="9" t="n">
        <v>26</v>
      </c>
      <c r="E58" s="9" t="inlineStr">
        <is>
          <t>بهار</t>
        </is>
      </c>
      <c r="F58" s="9" t="inlineStr"/>
      <c r="G58" s="9">
        <f>COUNTIF('کارهای 1405'!$G:$G,A58)</f>
        <v/>
      </c>
      <c r="H58" s="9">
        <f>COUNTIFS('کارهای 1405'!$G:$G,A58,'کارهای 1405'!$L:$L,"&lt;&gt;انجام شده",'کارهای 1405'!$L:$L,"&lt;&gt;لغو شده")</f>
        <v/>
      </c>
      <c r="I58" s="9" t="inlineStr"/>
    </row>
    <row r="59">
      <c r="A59" s="10" t="n">
        <v>46159</v>
      </c>
      <c r="B59" s="9" t="inlineStr">
        <is>
          <t>1405/02/27</t>
        </is>
      </c>
      <c r="C59" s="9" t="inlineStr">
        <is>
          <t>اردیبهشت</t>
        </is>
      </c>
      <c r="D59" s="9" t="n">
        <v>27</v>
      </c>
      <c r="E59" s="9" t="inlineStr">
        <is>
          <t>بهار</t>
        </is>
      </c>
      <c r="F59" s="9" t="inlineStr"/>
      <c r="G59" s="9">
        <f>COUNTIF('کارهای 1405'!$G:$G,A59)</f>
        <v/>
      </c>
      <c r="H59" s="9">
        <f>COUNTIFS('کارهای 1405'!$G:$G,A59,'کارهای 1405'!$L:$L,"&lt;&gt;انجام شده",'کارهای 1405'!$L:$L,"&lt;&gt;لغو شده")</f>
        <v/>
      </c>
      <c r="I59" s="9" t="inlineStr"/>
    </row>
    <row r="60">
      <c r="A60" s="10" t="n">
        <v>46160</v>
      </c>
      <c r="B60" s="9" t="inlineStr">
        <is>
          <t>1405/02/28</t>
        </is>
      </c>
      <c r="C60" s="9" t="inlineStr">
        <is>
          <t>اردیبهشت</t>
        </is>
      </c>
      <c r="D60" s="9" t="n">
        <v>28</v>
      </c>
      <c r="E60" s="9" t="inlineStr">
        <is>
          <t>بهار</t>
        </is>
      </c>
      <c r="F60" s="9" t="inlineStr"/>
      <c r="G60" s="9">
        <f>COUNTIF('کارهای 1405'!$G:$G,A60)</f>
        <v/>
      </c>
      <c r="H60" s="9">
        <f>COUNTIFS('کارهای 1405'!$G:$G,A60,'کارهای 1405'!$L:$L,"&lt;&gt;انجام شده",'کارهای 1405'!$L:$L,"&lt;&gt;لغو شده")</f>
        <v/>
      </c>
      <c r="I60" s="9" t="inlineStr"/>
    </row>
    <row r="61">
      <c r="A61" s="10" t="n">
        <v>46161</v>
      </c>
      <c r="B61" s="9" t="inlineStr">
        <is>
          <t>1405/02/29</t>
        </is>
      </c>
      <c r="C61" s="9" t="inlineStr">
        <is>
          <t>اردیبهشت</t>
        </is>
      </c>
      <c r="D61" s="9" t="n">
        <v>29</v>
      </c>
      <c r="E61" s="9" t="inlineStr">
        <is>
          <t>بهار</t>
        </is>
      </c>
      <c r="F61" s="9" t="inlineStr"/>
      <c r="G61" s="9">
        <f>COUNTIF('کارهای 1405'!$G:$G,A61)</f>
        <v/>
      </c>
      <c r="H61" s="9">
        <f>COUNTIFS('کارهای 1405'!$G:$G,A61,'کارهای 1405'!$L:$L,"&lt;&gt;انجام شده",'کارهای 1405'!$L:$L,"&lt;&gt;لغو شده")</f>
        <v/>
      </c>
      <c r="I61" s="9" t="inlineStr"/>
    </row>
    <row r="62">
      <c r="A62" s="10" t="n">
        <v>46162</v>
      </c>
      <c r="B62" s="9" t="inlineStr">
        <is>
          <t>1405/02/30</t>
        </is>
      </c>
      <c r="C62" s="9" t="inlineStr">
        <is>
          <t>اردیبهشت</t>
        </is>
      </c>
      <c r="D62" s="9" t="n">
        <v>30</v>
      </c>
      <c r="E62" s="9" t="inlineStr">
        <is>
          <t>بهار</t>
        </is>
      </c>
      <c r="F62" s="9" t="inlineStr"/>
      <c r="G62" s="9">
        <f>COUNTIF('کارهای 1405'!$G:$G,A62)</f>
        <v/>
      </c>
      <c r="H62" s="9">
        <f>COUNTIFS('کارهای 1405'!$G:$G,A62,'کارهای 1405'!$L:$L,"&lt;&gt;انجام شده",'کارهای 1405'!$L:$L,"&lt;&gt;لغو شده")</f>
        <v/>
      </c>
      <c r="I62" s="9" t="inlineStr"/>
    </row>
    <row r="63">
      <c r="A63" s="10" t="n">
        <v>46163</v>
      </c>
      <c r="B63" s="9" t="inlineStr">
        <is>
          <t>1405/02/31</t>
        </is>
      </c>
      <c r="C63" s="9" t="inlineStr">
        <is>
          <t>اردیبهشت</t>
        </is>
      </c>
      <c r="D63" s="9" t="n">
        <v>31</v>
      </c>
      <c r="E63" s="9" t="inlineStr">
        <is>
          <t>بهار</t>
        </is>
      </c>
      <c r="F63" s="9" t="inlineStr"/>
      <c r="G63" s="9">
        <f>COUNTIF('کارهای 1405'!$G:$G,A63)</f>
        <v/>
      </c>
      <c r="H63" s="9">
        <f>COUNTIFS('کارهای 1405'!$G:$G,A63,'کارهای 1405'!$L:$L,"&lt;&gt;انجام شده",'کارهای 1405'!$L:$L,"&lt;&gt;لغو شده")</f>
        <v/>
      </c>
      <c r="I63" s="9" t="inlineStr"/>
    </row>
    <row r="64">
      <c r="A64" s="10" t="n">
        <v>46164</v>
      </c>
      <c r="B64" s="9" t="inlineStr">
        <is>
          <t>1405/03/01</t>
        </is>
      </c>
      <c r="C64" s="9" t="inlineStr">
        <is>
          <t>خرداد</t>
        </is>
      </c>
      <c r="D64" s="9" t="n">
        <v>1</v>
      </c>
      <c r="E64" s="9" t="inlineStr">
        <is>
          <t>بهار</t>
        </is>
      </c>
      <c r="F64" s="9" t="inlineStr"/>
      <c r="G64" s="9">
        <f>COUNTIF('کارهای 1405'!$G:$G,A64)</f>
        <v/>
      </c>
      <c r="H64" s="9">
        <f>COUNTIFS('کارهای 1405'!$G:$G,A64,'کارهای 1405'!$L:$L,"&lt;&gt;انجام شده",'کارهای 1405'!$L:$L,"&lt;&gt;لغو شده")</f>
        <v/>
      </c>
      <c r="I64" s="9" t="inlineStr"/>
    </row>
    <row r="65">
      <c r="A65" s="10" t="n">
        <v>46165</v>
      </c>
      <c r="B65" s="9" t="inlineStr">
        <is>
          <t>1405/03/02</t>
        </is>
      </c>
      <c r="C65" s="9" t="inlineStr">
        <is>
          <t>خرداد</t>
        </is>
      </c>
      <c r="D65" s="9" t="n">
        <v>2</v>
      </c>
      <c r="E65" s="9" t="inlineStr">
        <is>
          <t>بهار</t>
        </is>
      </c>
      <c r="F65" s="9" t="inlineStr"/>
      <c r="G65" s="9">
        <f>COUNTIF('کارهای 1405'!$G:$G,A65)</f>
        <v/>
      </c>
      <c r="H65" s="9">
        <f>COUNTIFS('کارهای 1405'!$G:$G,A65,'کارهای 1405'!$L:$L,"&lt;&gt;انجام شده",'کارهای 1405'!$L:$L,"&lt;&gt;لغو شده")</f>
        <v/>
      </c>
      <c r="I65" s="9" t="inlineStr"/>
    </row>
    <row r="66">
      <c r="A66" s="10" t="n">
        <v>46166</v>
      </c>
      <c r="B66" s="9" t="inlineStr">
        <is>
          <t>1405/03/03</t>
        </is>
      </c>
      <c r="C66" s="9" t="inlineStr">
        <is>
          <t>خرداد</t>
        </is>
      </c>
      <c r="D66" s="9" t="n">
        <v>3</v>
      </c>
      <c r="E66" s="9" t="inlineStr">
        <is>
          <t>بهار</t>
        </is>
      </c>
      <c r="F66" s="9" t="inlineStr"/>
      <c r="G66" s="9">
        <f>COUNTIF('کارهای 1405'!$G:$G,A66)</f>
        <v/>
      </c>
      <c r="H66" s="9">
        <f>COUNTIFS('کارهای 1405'!$G:$G,A66,'کارهای 1405'!$L:$L,"&lt;&gt;انجام شده",'کارهای 1405'!$L:$L,"&lt;&gt;لغو شده")</f>
        <v/>
      </c>
      <c r="I66" s="9" t="inlineStr"/>
    </row>
    <row r="67">
      <c r="A67" s="10" t="n">
        <v>46167</v>
      </c>
      <c r="B67" s="9" t="inlineStr">
        <is>
          <t>1405/03/04</t>
        </is>
      </c>
      <c r="C67" s="9" t="inlineStr">
        <is>
          <t>خرداد</t>
        </is>
      </c>
      <c r="D67" s="9" t="n">
        <v>4</v>
      </c>
      <c r="E67" s="9" t="inlineStr">
        <is>
          <t>بهار</t>
        </is>
      </c>
      <c r="F67" s="9" t="inlineStr"/>
      <c r="G67" s="9">
        <f>COUNTIF('کارهای 1405'!$G:$G,A67)</f>
        <v/>
      </c>
      <c r="H67" s="9">
        <f>COUNTIFS('کارهای 1405'!$G:$G,A67,'کارهای 1405'!$L:$L,"&lt;&gt;انجام شده",'کارهای 1405'!$L:$L,"&lt;&gt;لغو شده")</f>
        <v/>
      </c>
      <c r="I67" s="9" t="inlineStr"/>
    </row>
    <row r="68">
      <c r="A68" s="10" t="n">
        <v>46168</v>
      </c>
      <c r="B68" s="9" t="inlineStr">
        <is>
          <t>1405/03/05</t>
        </is>
      </c>
      <c r="C68" s="9" t="inlineStr">
        <is>
          <t>خرداد</t>
        </is>
      </c>
      <c r="D68" s="9" t="n">
        <v>5</v>
      </c>
      <c r="E68" s="9" t="inlineStr">
        <is>
          <t>بهار</t>
        </is>
      </c>
      <c r="F68" s="9" t="inlineStr"/>
      <c r="G68" s="9">
        <f>COUNTIF('کارهای 1405'!$G:$G,A68)</f>
        <v/>
      </c>
      <c r="H68" s="9">
        <f>COUNTIFS('کارهای 1405'!$G:$G,A68,'کارهای 1405'!$L:$L,"&lt;&gt;انجام شده",'کارهای 1405'!$L:$L,"&lt;&gt;لغو شده")</f>
        <v/>
      </c>
      <c r="I68" s="9" t="inlineStr"/>
    </row>
    <row r="69">
      <c r="A69" s="10" t="n">
        <v>46169</v>
      </c>
      <c r="B69" s="9" t="inlineStr">
        <is>
          <t>1405/03/06</t>
        </is>
      </c>
      <c r="C69" s="9" t="inlineStr">
        <is>
          <t>خرداد</t>
        </is>
      </c>
      <c r="D69" s="9" t="n">
        <v>6</v>
      </c>
      <c r="E69" s="9" t="inlineStr">
        <is>
          <t>بهار</t>
        </is>
      </c>
      <c r="F69" s="9" t="inlineStr"/>
      <c r="G69" s="9">
        <f>COUNTIF('کارهای 1405'!$G:$G,A69)</f>
        <v/>
      </c>
      <c r="H69" s="9">
        <f>COUNTIFS('کارهای 1405'!$G:$G,A69,'کارهای 1405'!$L:$L,"&lt;&gt;انجام شده",'کارهای 1405'!$L:$L,"&lt;&gt;لغو شده")</f>
        <v/>
      </c>
      <c r="I69" s="9" t="inlineStr"/>
    </row>
    <row r="70">
      <c r="A70" s="10" t="n">
        <v>46170</v>
      </c>
      <c r="B70" s="9" t="inlineStr">
        <is>
          <t>1405/03/07</t>
        </is>
      </c>
      <c r="C70" s="9" t="inlineStr">
        <is>
          <t>خرداد</t>
        </is>
      </c>
      <c r="D70" s="9" t="n">
        <v>7</v>
      </c>
      <c r="E70" s="9" t="inlineStr">
        <is>
          <t>بهار</t>
        </is>
      </c>
      <c r="F70" s="9" t="inlineStr"/>
      <c r="G70" s="9">
        <f>COUNTIF('کارهای 1405'!$G:$G,A70)</f>
        <v/>
      </c>
      <c r="H70" s="9">
        <f>COUNTIFS('کارهای 1405'!$G:$G,A70,'کارهای 1405'!$L:$L,"&lt;&gt;انجام شده",'کارهای 1405'!$L:$L,"&lt;&gt;لغو شده")</f>
        <v/>
      </c>
      <c r="I70" s="9" t="inlineStr"/>
    </row>
    <row r="71">
      <c r="A71" s="10" t="n">
        <v>46171</v>
      </c>
      <c r="B71" s="9" t="inlineStr">
        <is>
          <t>1405/03/08</t>
        </is>
      </c>
      <c r="C71" s="9" t="inlineStr">
        <is>
          <t>خرداد</t>
        </is>
      </c>
      <c r="D71" s="9" t="n">
        <v>8</v>
      </c>
      <c r="E71" s="9" t="inlineStr">
        <is>
          <t>بهار</t>
        </is>
      </c>
      <c r="F71" s="9" t="inlineStr"/>
      <c r="G71" s="9">
        <f>COUNTIF('کارهای 1405'!$G:$G,A71)</f>
        <v/>
      </c>
      <c r="H71" s="9">
        <f>COUNTIFS('کارهای 1405'!$G:$G,A71,'کارهای 1405'!$L:$L,"&lt;&gt;انجام شده",'کارهای 1405'!$L:$L,"&lt;&gt;لغو شده")</f>
        <v/>
      </c>
      <c r="I71" s="9" t="inlineStr"/>
    </row>
    <row r="72">
      <c r="A72" s="10" t="n">
        <v>46172</v>
      </c>
      <c r="B72" s="9" t="inlineStr">
        <is>
          <t>1405/03/09</t>
        </is>
      </c>
      <c r="C72" s="9" t="inlineStr">
        <is>
          <t>خرداد</t>
        </is>
      </c>
      <c r="D72" s="9" t="n">
        <v>9</v>
      </c>
      <c r="E72" s="9" t="inlineStr">
        <is>
          <t>بهار</t>
        </is>
      </c>
      <c r="F72" s="9" t="inlineStr"/>
      <c r="G72" s="9">
        <f>COUNTIF('کارهای 1405'!$G:$G,A72)</f>
        <v/>
      </c>
      <c r="H72" s="9">
        <f>COUNTIFS('کارهای 1405'!$G:$G,A72,'کارهای 1405'!$L:$L,"&lt;&gt;انجام شده",'کارهای 1405'!$L:$L,"&lt;&gt;لغو شده")</f>
        <v/>
      </c>
      <c r="I72" s="9" t="inlineStr"/>
    </row>
    <row r="73">
      <c r="A73" s="10" t="n">
        <v>46173</v>
      </c>
      <c r="B73" s="9" t="inlineStr">
        <is>
          <t>1405/03/10</t>
        </is>
      </c>
      <c r="C73" s="9" t="inlineStr">
        <is>
          <t>خرداد</t>
        </is>
      </c>
      <c r="D73" s="9" t="n">
        <v>10</v>
      </c>
      <c r="E73" s="9" t="inlineStr">
        <is>
          <t>بهار</t>
        </is>
      </c>
      <c r="F73" s="9" t="inlineStr"/>
      <c r="G73" s="9">
        <f>COUNTIF('کارهای 1405'!$G:$G,A73)</f>
        <v/>
      </c>
      <c r="H73" s="9">
        <f>COUNTIFS('کارهای 1405'!$G:$G,A73,'کارهای 1405'!$L:$L,"&lt;&gt;انجام شده",'کارهای 1405'!$L:$L,"&lt;&gt;لغو شده")</f>
        <v/>
      </c>
      <c r="I73" s="9" t="inlineStr"/>
    </row>
    <row r="74">
      <c r="A74" s="10" t="n">
        <v>46174</v>
      </c>
      <c r="B74" s="9" t="inlineStr">
        <is>
          <t>1405/03/11</t>
        </is>
      </c>
      <c r="C74" s="9" t="inlineStr">
        <is>
          <t>خرداد</t>
        </is>
      </c>
      <c r="D74" s="9" t="n">
        <v>11</v>
      </c>
      <c r="E74" s="9" t="inlineStr">
        <is>
          <t>بهار</t>
        </is>
      </c>
      <c r="F74" s="9" t="inlineStr"/>
      <c r="G74" s="9">
        <f>COUNTIF('کارهای 1405'!$G:$G,A74)</f>
        <v/>
      </c>
      <c r="H74" s="9">
        <f>COUNTIFS('کارهای 1405'!$G:$G,A74,'کارهای 1405'!$L:$L,"&lt;&gt;انجام شده",'کارهای 1405'!$L:$L,"&lt;&gt;لغو شده")</f>
        <v/>
      </c>
      <c r="I74" s="9" t="inlineStr"/>
    </row>
    <row r="75">
      <c r="A75" s="10" t="n">
        <v>46175</v>
      </c>
      <c r="B75" s="9" t="inlineStr">
        <is>
          <t>1405/03/12</t>
        </is>
      </c>
      <c r="C75" s="9" t="inlineStr">
        <is>
          <t>خرداد</t>
        </is>
      </c>
      <c r="D75" s="9" t="n">
        <v>12</v>
      </c>
      <c r="E75" s="9" t="inlineStr">
        <is>
          <t>بهار</t>
        </is>
      </c>
      <c r="F75" s="9" t="inlineStr"/>
      <c r="G75" s="9">
        <f>COUNTIF('کارهای 1405'!$G:$G,A75)</f>
        <v/>
      </c>
      <c r="H75" s="9">
        <f>COUNTIFS('کارهای 1405'!$G:$G,A75,'کارهای 1405'!$L:$L,"&lt;&gt;انجام شده",'کارهای 1405'!$L:$L,"&lt;&gt;لغو شده")</f>
        <v/>
      </c>
      <c r="I75" s="9" t="inlineStr"/>
    </row>
    <row r="76">
      <c r="A76" s="10" t="n">
        <v>46176</v>
      </c>
      <c r="B76" s="9" t="inlineStr">
        <is>
          <t>1405/03/13</t>
        </is>
      </c>
      <c r="C76" s="9" t="inlineStr">
        <is>
          <t>خرداد</t>
        </is>
      </c>
      <c r="D76" s="9" t="n">
        <v>13</v>
      </c>
      <c r="E76" s="9" t="inlineStr">
        <is>
          <t>بهار</t>
        </is>
      </c>
      <c r="F76" s="9" t="inlineStr"/>
      <c r="G76" s="9">
        <f>COUNTIF('کارهای 1405'!$G:$G,A76)</f>
        <v/>
      </c>
      <c r="H76" s="9">
        <f>COUNTIFS('کارهای 1405'!$G:$G,A76,'کارهای 1405'!$L:$L,"&lt;&gt;انجام شده",'کارهای 1405'!$L:$L,"&lt;&gt;لغو شده")</f>
        <v/>
      </c>
      <c r="I76" s="9" t="inlineStr"/>
    </row>
    <row r="77">
      <c r="A77" s="10" t="n">
        <v>46177</v>
      </c>
      <c r="B77" s="9" t="inlineStr">
        <is>
          <t>1405/03/14</t>
        </is>
      </c>
      <c r="C77" s="9" t="inlineStr">
        <is>
          <t>خرداد</t>
        </is>
      </c>
      <c r="D77" s="9" t="n">
        <v>14</v>
      </c>
      <c r="E77" s="9" t="inlineStr">
        <is>
          <t>بهار</t>
        </is>
      </c>
      <c r="F77" s="9" t="inlineStr"/>
      <c r="G77" s="9">
        <f>COUNTIF('کارهای 1405'!$G:$G,A77)</f>
        <v/>
      </c>
      <c r="H77" s="9">
        <f>COUNTIFS('کارهای 1405'!$G:$G,A77,'کارهای 1405'!$L:$L,"&lt;&gt;انجام شده",'کارهای 1405'!$L:$L,"&lt;&gt;لغو شده")</f>
        <v/>
      </c>
      <c r="I77" s="9" t="inlineStr"/>
    </row>
    <row r="78">
      <c r="A78" s="10" t="n">
        <v>46178</v>
      </c>
      <c r="B78" s="9" t="inlineStr">
        <is>
          <t>1405/03/15</t>
        </is>
      </c>
      <c r="C78" s="9" t="inlineStr">
        <is>
          <t>خرداد</t>
        </is>
      </c>
      <c r="D78" s="9" t="n">
        <v>15</v>
      </c>
      <c r="E78" s="9" t="inlineStr">
        <is>
          <t>بهار</t>
        </is>
      </c>
      <c r="F78" s="9" t="inlineStr"/>
      <c r="G78" s="9">
        <f>COUNTIF('کارهای 1405'!$G:$G,A78)</f>
        <v/>
      </c>
      <c r="H78" s="9">
        <f>COUNTIFS('کارهای 1405'!$G:$G,A78,'کارهای 1405'!$L:$L,"&lt;&gt;انجام شده",'کارهای 1405'!$L:$L,"&lt;&gt;لغو شده")</f>
        <v/>
      </c>
      <c r="I78" s="9" t="inlineStr"/>
    </row>
    <row r="79">
      <c r="A79" s="10" t="n">
        <v>46179</v>
      </c>
      <c r="B79" s="9" t="inlineStr">
        <is>
          <t>1405/03/16</t>
        </is>
      </c>
      <c r="C79" s="9" t="inlineStr">
        <is>
          <t>خرداد</t>
        </is>
      </c>
      <c r="D79" s="9" t="n">
        <v>16</v>
      </c>
      <c r="E79" s="9" t="inlineStr">
        <is>
          <t>بهار</t>
        </is>
      </c>
      <c r="F79" s="9" t="inlineStr"/>
      <c r="G79" s="9">
        <f>COUNTIF('کارهای 1405'!$G:$G,A79)</f>
        <v/>
      </c>
      <c r="H79" s="9">
        <f>COUNTIFS('کارهای 1405'!$G:$G,A79,'کارهای 1405'!$L:$L,"&lt;&gt;انجام شده",'کارهای 1405'!$L:$L,"&lt;&gt;لغو شده")</f>
        <v/>
      </c>
      <c r="I79" s="9" t="inlineStr"/>
    </row>
    <row r="80">
      <c r="A80" s="10" t="n">
        <v>46180</v>
      </c>
      <c r="B80" s="9" t="inlineStr">
        <is>
          <t>1405/03/17</t>
        </is>
      </c>
      <c r="C80" s="9" t="inlineStr">
        <is>
          <t>خرداد</t>
        </is>
      </c>
      <c r="D80" s="9" t="n">
        <v>17</v>
      </c>
      <c r="E80" s="9" t="inlineStr">
        <is>
          <t>بهار</t>
        </is>
      </c>
      <c r="F80" s="9" t="inlineStr"/>
      <c r="G80" s="9">
        <f>COUNTIF('کارهای 1405'!$G:$G,A80)</f>
        <v/>
      </c>
      <c r="H80" s="9">
        <f>COUNTIFS('کارهای 1405'!$G:$G,A80,'کارهای 1405'!$L:$L,"&lt;&gt;انجام شده",'کارهای 1405'!$L:$L,"&lt;&gt;لغو شده")</f>
        <v/>
      </c>
      <c r="I80" s="9" t="inlineStr"/>
    </row>
    <row r="81">
      <c r="A81" s="10" t="n">
        <v>46181</v>
      </c>
      <c r="B81" s="9" t="inlineStr">
        <is>
          <t>1405/03/18</t>
        </is>
      </c>
      <c r="C81" s="9" t="inlineStr">
        <is>
          <t>خرداد</t>
        </is>
      </c>
      <c r="D81" s="9" t="n">
        <v>18</v>
      </c>
      <c r="E81" s="9" t="inlineStr">
        <is>
          <t>بهار</t>
        </is>
      </c>
      <c r="F81" s="9" t="inlineStr"/>
      <c r="G81" s="9">
        <f>COUNTIF('کارهای 1405'!$G:$G,A81)</f>
        <v/>
      </c>
      <c r="H81" s="9">
        <f>COUNTIFS('کارهای 1405'!$G:$G,A81,'کارهای 1405'!$L:$L,"&lt;&gt;انجام شده",'کارهای 1405'!$L:$L,"&lt;&gt;لغو شده")</f>
        <v/>
      </c>
      <c r="I81" s="9" t="inlineStr"/>
    </row>
    <row r="82">
      <c r="A82" s="10" t="n">
        <v>46182</v>
      </c>
      <c r="B82" s="9" t="inlineStr">
        <is>
          <t>1405/03/19</t>
        </is>
      </c>
      <c r="C82" s="9" t="inlineStr">
        <is>
          <t>خرداد</t>
        </is>
      </c>
      <c r="D82" s="9" t="n">
        <v>19</v>
      </c>
      <c r="E82" s="9" t="inlineStr">
        <is>
          <t>بهار</t>
        </is>
      </c>
      <c r="F82" s="9" t="inlineStr"/>
      <c r="G82" s="9">
        <f>COUNTIF('کارهای 1405'!$G:$G,A82)</f>
        <v/>
      </c>
      <c r="H82" s="9">
        <f>COUNTIFS('کارهای 1405'!$G:$G,A82,'کارهای 1405'!$L:$L,"&lt;&gt;انجام شده",'کارهای 1405'!$L:$L,"&lt;&gt;لغو شده")</f>
        <v/>
      </c>
      <c r="I82" s="9" t="inlineStr"/>
    </row>
    <row r="83">
      <c r="A83" s="10" t="n">
        <v>46183</v>
      </c>
      <c r="B83" s="9" t="inlineStr">
        <is>
          <t>1405/03/20</t>
        </is>
      </c>
      <c r="C83" s="9" t="inlineStr">
        <is>
          <t>خرداد</t>
        </is>
      </c>
      <c r="D83" s="9" t="n">
        <v>20</v>
      </c>
      <c r="E83" s="9" t="inlineStr">
        <is>
          <t>بهار</t>
        </is>
      </c>
      <c r="F83" s="9" t="inlineStr"/>
      <c r="G83" s="9">
        <f>COUNTIF('کارهای 1405'!$G:$G,A83)</f>
        <v/>
      </c>
      <c r="H83" s="9">
        <f>COUNTIFS('کارهای 1405'!$G:$G,A83,'کارهای 1405'!$L:$L,"&lt;&gt;انجام شده",'کارهای 1405'!$L:$L,"&lt;&gt;لغو شده")</f>
        <v/>
      </c>
      <c r="I83" s="9" t="inlineStr"/>
    </row>
    <row r="84">
      <c r="A84" s="10" t="n">
        <v>46184</v>
      </c>
      <c r="B84" s="9" t="inlineStr">
        <is>
          <t>1405/03/21</t>
        </is>
      </c>
      <c r="C84" s="9" t="inlineStr">
        <is>
          <t>خرداد</t>
        </is>
      </c>
      <c r="D84" s="9" t="n">
        <v>21</v>
      </c>
      <c r="E84" s="9" t="inlineStr">
        <is>
          <t>بهار</t>
        </is>
      </c>
      <c r="F84" s="9" t="inlineStr"/>
      <c r="G84" s="9">
        <f>COUNTIF('کارهای 1405'!$G:$G,A84)</f>
        <v/>
      </c>
      <c r="H84" s="9">
        <f>COUNTIFS('کارهای 1405'!$G:$G,A84,'کارهای 1405'!$L:$L,"&lt;&gt;انجام شده",'کارهای 1405'!$L:$L,"&lt;&gt;لغو شده")</f>
        <v/>
      </c>
      <c r="I84" s="9" t="inlineStr"/>
    </row>
    <row r="85">
      <c r="A85" s="10" t="n">
        <v>46185</v>
      </c>
      <c r="B85" s="9" t="inlineStr">
        <is>
          <t>1405/03/22</t>
        </is>
      </c>
      <c r="C85" s="9" t="inlineStr">
        <is>
          <t>خرداد</t>
        </is>
      </c>
      <c r="D85" s="9" t="n">
        <v>22</v>
      </c>
      <c r="E85" s="9" t="inlineStr">
        <is>
          <t>بهار</t>
        </is>
      </c>
      <c r="F85" s="9" t="inlineStr"/>
      <c r="G85" s="9">
        <f>COUNTIF('کارهای 1405'!$G:$G,A85)</f>
        <v/>
      </c>
      <c r="H85" s="9">
        <f>COUNTIFS('کارهای 1405'!$G:$G,A85,'کارهای 1405'!$L:$L,"&lt;&gt;انجام شده",'کارهای 1405'!$L:$L,"&lt;&gt;لغو شده")</f>
        <v/>
      </c>
      <c r="I85" s="9" t="inlineStr"/>
    </row>
    <row r="86">
      <c r="A86" s="10" t="n">
        <v>46186</v>
      </c>
      <c r="B86" s="9" t="inlineStr">
        <is>
          <t>1405/03/23</t>
        </is>
      </c>
      <c r="C86" s="9" t="inlineStr">
        <is>
          <t>خرداد</t>
        </is>
      </c>
      <c r="D86" s="9" t="n">
        <v>23</v>
      </c>
      <c r="E86" s="9" t="inlineStr">
        <is>
          <t>بهار</t>
        </is>
      </c>
      <c r="F86" s="9" t="inlineStr"/>
      <c r="G86" s="9">
        <f>COUNTIF('کارهای 1405'!$G:$G,A86)</f>
        <v/>
      </c>
      <c r="H86" s="9">
        <f>COUNTIFS('کارهای 1405'!$G:$G,A86,'کارهای 1405'!$L:$L,"&lt;&gt;انجام شده",'کارهای 1405'!$L:$L,"&lt;&gt;لغو شده")</f>
        <v/>
      </c>
      <c r="I86" s="9" t="inlineStr"/>
    </row>
    <row r="87">
      <c r="A87" s="10" t="n">
        <v>46187</v>
      </c>
      <c r="B87" s="9" t="inlineStr">
        <is>
          <t>1405/03/24</t>
        </is>
      </c>
      <c r="C87" s="9" t="inlineStr">
        <is>
          <t>خرداد</t>
        </is>
      </c>
      <c r="D87" s="9" t="n">
        <v>24</v>
      </c>
      <c r="E87" s="9" t="inlineStr">
        <is>
          <t>بهار</t>
        </is>
      </c>
      <c r="F87" s="9" t="inlineStr"/>
      <c r="G87" s="9">
        <f>COUNTIF('کارهای 1405'!$G:$G,A87)</f>
        <v/>
      </c>
      <c r="H87" s="9">
        <f>COUNTIFS('کارهای 1405'!$G:$G,A87,'کارهای 1405'!$L:$L,"&lt;&gt;انجام شده",'کارهای 1405'!$L:$L,"&lt;&gt;لغو شده")</f>
        <v/>
      </c>
      <c r="I87" s="9" t="inlineStr"/>
    </row>
    <row r="88">
      <c r="A88" s="10" t="n">
        <v>46188</v>
      </c>
      <c r="B88" s="9" t="inlineStr">
        <is>
          <t>1405/03/25</t>
        </is>
      </c>
      <c r="C88" s="9" t="inlineStr">
        <is>
          <t>خرداد</t>
        </is>
      </c>
      <c r="D88" s="9" t="n">
        <v>25</v>
      </c>
      <c r="E88" s="9" t="inlineStr">
        <is>
          <t>بهار</t>
        </is>
      </c>
      <c r="F88" s="9" t="inlineStr"/>
      <c r="G88" s="9">
        <f>COUNTIF('کارهای 1405'!$G:$G,A88)</f>
        <v/>
      </c>
      <c r="H88" s="9">
        <f>COUNTIFS('کارهای 1405'!$G:$G,A88,'کارهای 1405'!$L:$L,"&lt;&gt;انجام شده",'کارهای 1405'!$L:$L,"&lt;&gt;لغو شده")</f>
        <v/>
      </c>
      <c r="I88" s="9" t="inlineStr"/>
    </row>
    <row r="89">
      <c r="A89" s="10" t="n">
        <v>46189</v>
      </c>
      <c r="B89" s="9" t="inlineStr">
        <is>
          <t>1405/03/26</t>
        </is>
      </c>
      <c r="C89" s="9" t="inlineStr">
        <is>
          <t>خرداد</t>
        </is>
      </c>
      <c r="D89" s="9" t="n">
        <v>26</v>
      </c>
      <c r="E89" s="9" t="inlineStr">
        <is>
          <t>بهار</t>
        </is>
      </c>
      <c r="F89" s="9" t="inlineStr"/>
      <c r="G89" s="9">
        <f>COUNTIF('کارهای 1405'!$G:$G,A89)</f>
        <v/>
      </c>
      <c r="H89" s="9">
        <f>COUNTIFS('کارهای 1405'!$G:$G,A89,'کارهای 1405'!$L:$L,"&lt;&gt;انجام شده",'کارهای 1405'!$L:$L,"&lt;&gt;لغو شده")</f>
        <v/>
      </c>
      <c r="I89" s="9" t="inlineStr"/>
    </row>
    <row r="90">
      <c r="A90" s="10" t="n">
        <v>46190</v>
      </c>
      <c r="B90" s="9" t="inlineStr">
        <is>
          <t>1405/03/27</t>
        </is>
      </c>
      <c r="C90" s="9" t="inlineStr">
        <is>
          <t>خرداد</t>
        </is>
      </c>
      <c r="D90" s="9" t="n">
        <v>27</v>
      </c>
      <c r="E90" s="9" t="inlineStr">
        <is>
          <t>بهار</t>
        </is>
      </c>
      <c r="F90" s="9" t="inlineStr"/>
      <c r="G90" s="9">
        <f>COUNTIF('کارهای 1405'!$G:$G,A90)</f>
        <v/>
      </c>
      <c r="H90" s="9">
        <f>COUNTIFS('کارهای 1405'!$G:$G,A90,'کارهای 1405'!$L:$L,"&lt;&gt;انجام شده",'کارهای 1405'!$L:$L,"&lt;&gt;لغو شده")</f>
        <v/>
      </c>
      <c r="I90" s="9" t="inlineStr"/>
    </row>
    <row r="91">
      <c r="A91" s="10" t="n">
        <v>46191</v>
      </c>
      <c r="B91" s="9" t="inlineStr">
        <is>
          <t>1405/03/28</t>
        </is>
      </c>
      <c r="C91" s="9" t="inlineStr">
        <is>
          <t>خرداد</t>
        </is>
      </c>
      <c r="D91" s="9" t="n">
        <v>28</v>
      </c>
      <c r="E91" s="9" t="inlineStr">
        <is>
          <t>بهار</t>
        </is>
      </c>
      <c r="F91" s="9" t="inlineStr"/>
      <c r="G91" s="9">
        <f>COUNTIF('کارهای 1405'!$G:$G,A91)</f>
        <v/>
      </c>
      <c r="H91" s="9">
        <f>COUNTIFS('کارهای 1405'!$G:$G,A91,'کارهای 1405'!$L:$L,"&lt;&gt;انجام شده",'کارهای 1405'!$L:$L,"&lt;&gt;لغو شده")</f>
        <v/>
      </c>
      <c r="I91" s="9" t="inlineStr"/>
    </row>
    <row r="92">
      <c r="A92" s="10" t="n">
        <v>46192</v>
      </c>
      <c r="B92" s="9" t="inlineStr">
        <is>
          <t>1405/03/29</t>
        </is>
      </c>
      <c r="C92" s="9" t="inlineStr">
        <is>
          <t>خرداد</t>
        </is>
      </c>
      <c r="D92" s="9" t="n">
        <v>29</v>
      </c>
      <c r="E92" s="9" t="inlineStr">
        <is>
          <t>بهار</t>
        </is>
      </c>
      <c r="F92" s="9" t="inlineStr"/>
      <c r="G92" s="9">
        <f>COUNTIF('کارهای 1405'!$G:$G,A92)</f>
        <v/>
      </c>
      <c r="H92" s="9">
        <f>COUNTIFS('کارهای 1405'!$G:$G,A92,'کارهای 1405'!$L:$L,"&lt;&gt;انجام شده",'کارهای 1405'!$L:$L,"&lt;&gt;لغو شده")</f>
        <v/>
      </c>
      <c r="I92" s="9" t="inlineStr"/>
    </row>
    <row r="93">
      <c r="A93" s="10" t="n">
        <v>46193</v>
      </c>
      <c r="B93" s="9" t="inlineStr">
        <is>
          <t>1405/03/30</t>
        </is>
      </c>
      <c r="C93" s="9" t="inlineStr">
        <is>
          <t>خرداد</t>
        </is>
      </c>
      <c r="D93" s="9" t="n">
        <v>30</v>
      </c>
      <c r="E93" s="9" t="inlineStr">
        <is>
          <t>بهار</t>
        </is>
      </c>
      <c r="F93" s="9" t="inlineStr"/>
      <c r="G93" s="9">
        <f>COUNTIF('کارهای 1405'!$G:$G,A93)</f>
        <v/>
      </c>
      <c r="H93" s="9">
        <f>COUNTIFS('کارهای 1405'!$G:$G,A93,'کارهای 1405'!$L:$L,"&lt;&gt;انجام شده",'کارهای 1405'!$L:$L,"&lt;&gt;لغو شده")</f>
        <v/>
      </c>
      <c r="I93" s="9" t="inlineStr"/>
    </row>
    <row r="94">
      <c r="A94" s="10" t="n">
        <v>46194</v>
      </c>
      <c r="B94" s="9" t="inlineStr">
        <is>
          <t>1405/03/31</t>
        </is>
      </c>
      <c r="C94" s="9" t="inlineStr">
        <is>
          <t>خرداد</t>
        </is>
      </c>
      <c r="D94" s="9" t="n">
        <v>31</v>
      </c>
      <c r="E94" s="9" t="inlineStr">
        <is>
          <t>بهار</t>
        </is>
      </c>
      <c r="F94" s="9" t="inlineStr"/>
      <c r="G94" s="9">
        <f>COUNTIF('کارهای 1405'!$G:$G,A94)</f>
        <v/>
      </c>
      <c r="H94" s="9">
        <f>COUNTIFS('کارهای 1405'!$G:$G,A94,'کارهای 1405'!$L:$L,"&lt;&gt;انجام شده",'کارهای 1405'!$L:$L,"&lt;&gt;لغو شده")</f>
        <v/>
      </c>
      <c r="I94" s="9" t="inlineStr"/>
    </row>
    <row r="95">
      <c r="A95" s="10" t="n">
        <v>46195</v>
      </c>
      <c r="B95" s="9" t="inlineStr">
        <is>
          <t>1405/04/01</t>
        </is>
      </c>
      <c r="C95" s="9" t="inlineStr">
        <is>
          <t>تیر</t>
        </is>
      </c>
      <c r="D95" s="9" t="n">
        <v>1</v>
      </c>
      <c r="E95" s="9" t="inlineStr">
        <is>
          <t>تابستان</t>
        </is>
      </c>
      <c r="F95" s="9" t="inlineStr"/>
      <c r="G95" s="9">
        <f>COUNTIF('کارهای 1405'!$G:$G,A95)</f>
        <v/>
      </c>
      <c r="H95" s="9">
        <f>COUNTIFS('کارهای 1405'!$G:$G,A95,'کارهای 1405'!$L:$L,"&lt;&gt;انجام شده",'کارهای 1405'!$L:$L,"&lt;&gt;لغو شده")</f>
        <v/>
      </c>
      <c r="I95" s="9" t="inlineStr"/>
    </row>
    <row r="96">
      <c r="A96" s="10" t="n">
        <v>46196</v>
      </c>
      <c r="B96" s="9" t="inlineStr">
        <is>
          <t>1405/04/02</t>
        </is>
      </c>
      <c r="C96" s="9" t="inlineStr">
        <is>
          <t>تیر</t>
        </is>
      </c>
      <c r="D96" s="9" t="n">
        <v>2</v>
      </c>
      <c r="E96" s="9" t="inlineStr">
        <is>
          <t>تابستان</t>
        </is>
      </c>
      <c r="F96" s="9" t="inlineStr"/>
      <c r="G96" s="9">
        <f>COUNTIF('کارهای 1405'!$G:$G,A96)</f>
        <v/>
      </c>
      <c r="H96" s="9">
        <f>COUNTIFS('کارهای 1405'!$G:$G,A96,'کارهای 1405'!$L:$L,"&lt;&gt;انجام شده",'کارهای 1405'!$L:$L,"&lt;&gt;لغو شده")</f>
        <v/>
      </c>
      <c r="I96" s="9" t="inlineStr"/>
    </row>
    <row r="97">
      <c r="A97" s="10" t="n">
        <v>46197</v>
      </c>
      <c r="B97" s="9" t="inlineStr">
        <is>
          <t>1405/04/03</t>
        </is>
      </c>
      <c r="C97" s="9" t="inlineStr">
        <is>
          <t>تیر</t>
        </is>
      </c>
      <c r="D97" s="9" t="n">
        <v>3</v>
      </c>
      <c r="E97" s="9" t="inlineStr">
        <is>
          <t>تابستان</t>
        </is>
      </c>
      <c r="F97" s="9" t="inlineStr"/>
      <c r="G97" s="9">
        <f>COUNTIF('کارهای 1405'!$G:$G,A97)</f>
        <v/>
      </c>
      <c r="H97" s="9">
        <f>COUNTIFS('کارهای 1405'!$G:$G,A97,'کارهای 1405'!$L:$L,"&lt;&gt;انجام شده",'کارهای 1405'!$L:$L,"&lt;&gt;لغو شده")</f>
        <v/>
      </c>
      <c r="I97" s="9" t="inlineStr"/>
    </row>
    <row r="98">
      <c r="A98" s="10" t="n">
        <v>46198</v>
      </c>
      <c r="B98" s="9" t="inlineStr">
        <is>
          <t>1405/04/04</t>
        </is>
      </c>
      <c r="C98" s="9" t="inlineStr">
        <is>
          <t>تیر</t>
        </is>
      </c>
      <c r="D98" s="9" t="n">
        <v>4</v>
      </c>
      <c r="E98" s="9" t="inlineStr">
        <is>
          <t>تابستان</t>
        </is>
      </c>
      <c r="F98" s="9" t="inlineStr"/>
      <c r="G98" s="9">
        <f>COUNTIF('کارهای 1405'!$G:$G,A98)</f>
        <v/>
      </c>
      <c r="H98" s="9">
        <f>COUNTIFS('کارهای 1405'!$G:$G,A98,'کارهای 1405'!$L:$L,"&lt;&gt;انجام شده",'کارهای 1405'!$L:$L,"&lt;&gt;لغو شده")</f>
        <v/>
      </c>
      <c r="I98" s="9" t="inlineStr"/>
    </row>
    <row r="99">
      <c r="A99" s="10" t="n">
        <v>46199</v>
      </c>
      <c r="B99" s="9" t="inlineStr">
        <is>
          <t>1405/04/05</t>
        </is>
      </c>
      <c r="C99" s="9" t="inlineStr">
        <is>
          <t>تیر</t>
        </is>
      </c>
      <c r="D99" s="9" t="n">
        <v>5</v>
      </c>
      <c r="E99" s="9" t="inlineStr">
        <is>
          <t>تابستان</t>
        </is>
      </c>
      <c r="F99" s="9" t="inlineStr"/>
      <c r="G99" s="9">
        <f>COUNTIF('کارهای 1405'!$G:$G,A99)</f>
        <v/>
      </c>
      <c r="H99" s="9">
        <f>COUNTIFS('کارهای 1405'!$G:$G,A99,'کارهای 1405'!$L:$L,"&lt;&gt;انجام شده",'کارهای 1405'!$L:$L,"&lt;&gt;لغو شده")</f>
        <v/>
      </c>
      <c r="I99" s="9" t="inlineStr"/>
    </row>
    <row r="100">
      <c r="A100" s="10" t="n">
        <v>46200</v>
      </c>
      <c r="B100" s="9" t="inlineStr">
        <is>
          <t>1405/04/06</t>
        </is>
      </c>
      <c r="C100" s="9" t="inlineStr">
        <is>
          <t>تیر</t>
        </is>
      </c>
      <c r="D100" s="9" t="n">
        <v>6</v>
      </c>
      <c r="E100" s="9" t="inlineStr">
        <is>
          <t>تابستان</t>
        </is>
      </c>
      <c r="F100" s="9" t="inlineStr"/>
      <c r="G100" s="9">
        <f>COUNTIF('کارهای 1405'!$G:$G,A100)</f>
        <v/>
      </c>
      <c r="H100" s="9">
        <f>COUNTIFS('کارهای 1405'!$G:$G,A100,'کارهای 1405'!$L:$L,"&lt;&gt;انجام شده",'کارهای 1405'!$L:$L,"&lt;&gt;لغو شده")</f>
        <v/>
      </c>
      <c r="I100" s="9" t="inlineStr"/>
    </row>
    <row r="101">
      <c r="A101" s="10" t="n">
        <v>46201</v>
      </c>
      <c r="B101" s="9" t="inlineStr">
        <is>
          <t>1405/04/07</t>
        </is>
      </c>
      <c r="C101" s="9" t="inlineStr">
        <is>
          <t>تیر</t>
        </is>
      </c>
      <c r="D101" s="9" t="n">
        <v>7</v>
      </c>
      <c r="E101" s="9" t="inlineStr">
        <is>
          <t>تابستان</t>
        </is>
      </c>
      <c r="F101" s="9" t="inlineStr"/>
      <c r="G101" s="9">
        <f>COUNTIF('کارهای 1405'!$G:$G,A101)</f>
        <v/>
      </c>
      <c r="H101" s="9">
        <f>COUNTIFS('کارهای 1405'!$G:$G,A101,'کارهای 1405'!$L:$L,"&lt;&gt;انجام شده",'کارهای 1405'!$L:$L,"&lt;&gt;لغو شده")</f>
        <v/>
      </c>
      <c r="I101" s="9" t="inlineStr"/>
    </row>
    <row r="102">
      <c r="A102" s="10" t="n">
        <v>46202</v>
      </c>
      <c r="B102" s="9" t="inlineStr">
        <is>
          <t>1405/04/08</t>
        </is>
      </c>
      <c r="C102" s="9" t="inlineStr">
        <is>
          <t>تیر</t>
        </is>
      </c>
      <c r="D102" s="9" t="n">
        <v>8</v>
      </c>
      <c r="E102" s="9" t="inlineStr">
        <is>
          <t>تابستان</t>
        </is>
      </c>
      <c r="F102" s="9" t="inlineStr"/>
      <c r="G102" s="9">
        <f>COUNTIF('کارهای 1405'!$G:$G,A102)</f>
        <v/>
      </c>
      <c r="H102" s="9">
        <f>COUNTIFS('کارهای 1405'!$G:$G,A102,'کارهای 1405'!$L:$L,"&lt;&gt;انجام شده",'کارهای 1405'!$L:$L,"&lt;&gt;لغو شده")</f>
        <v/>
      </c>
      <c r="I102" s="9" t="inlineStr"/>
    </row>
    <row r="103">
      <c r="A103" s="10" t="n">
        <v>46203</v>
      </c>
      <c r="B103" s="9" t="inlineStr">
        <is>
          <t>1405/04/09</t>
        </is>
      </c>
      <c r="C103" s="9" t="inlineStr">
        <is>
          <t>تیر</t>
        </is>
      </c>
      <c r="D103" s="9" t="n">
        <v>9</v>
      </c>
      <c r="E103" s="9" t="inlineStr">
        <is>
          <t>تابستان</t>
        </is>
      </c>
      <c r="F103" s="9" t="inlineStr"/>
      <c r="G103" s="9">
        <f>COUNTIF('کارهای 1405'!$G:$G,A103)</f>
        <v/>
      </c>
      <c r="H103" s="9">
        <f>COUNTIFS('کارهای 1405'!$G:$G,A103,'کارهای 1405'!$L:$L,"&lt;&gt;انجام شده",'کارهای 1405'!$L:$L,"&lt;&gt;لغو شده")</f>
        <v/>
      </c>
      <c r="I103" s="9" t="inlineStr"/>
    </row>
    <row r="104">
      <c r="A104" s="10" t="n">
        <v>46204</v>
      </c>
      <c r="B104" s="9" t="inlineStr">
        <is>
          <t>1405/04/10</t>
        </is>
      </c>
      <c r="C104" s="9" t="inlineStr">
        <is>
          <t>تیر</t>
        </is>
      </c>
      <c r="D104" s="9" t="n">
        <v>10</v>
      </c>
      <c r="E104" s="9" t="inlineStr">
        <is>
          <t>تابستان</t>
        </is>
      </c>
      <c r="F104" s="9" t="inlineStr"/>
      <c r="G104" s="9">
        <f>COUNTIF('کارهای 1405'!$G:$G,A104)</f>
        <v/>
      </c>
      <c r="H104" s="9">
        <f>COUNTIFS('کارهای 1405'!$G:$G,A104,'کارهای 1405'!$L:$L,"&lt;&gt;انجام شده",'کارهای 1405'!$L:$L,"&lt;&gt;لغو شده")</f>
        <v/>
      </c>
      <c r="I104" s="9" t="inlineStr"/>
    </row>
    <row r="105">
      <c r="A105" s="10" t="n">
        <v>46205</v>
      </c>
      <c r="B105" s="9" t="inlineStr">
        <is>
          <t>1405/04/11</t>
        </is>
      </c>
      <c r="C105" s="9" t="inlineStr">
        <is>
          <t>تیر</t>
        </is>
      </c>
      <c r="D105" s="9" t="n">
        <v>11</v>
      </c>
      <c r="E105" s="9" t="inlineStr">
        <is>
          <t>تابستان</t>
        </is>
      </c>
      <c r="F105" s="9" t="inlineStr"/>
      <c r="G105" s="9">
        <f>COUNTIF('کارهای 1405'!$G:$G,A105)</f>
        <v/>
      </c>
      <c r="H105" s="9">
        <f>COUNTIFS('کارهای 1405'!$G:$G,A105,'کارهای 1405'!$L:$L,"&lt;&gt;انجام شده",'کارهای 1405'!$L:$L,"&lt;&gt;لغو شده")</f>
        <v/>
      </c>
      <c r="I105" s="9" t="inlineStr"/>
    </row>
    <row r="106">
      <c r="A106" s="10" t="n">
        <v>46206</v>
      </c>
      <c r="B106" s="9" t="inlineStr">
        <is>
          <t>1405/04/12</t>
        </is>
      </c>
      <c r="C106" s="9" t="inlineStr">
        <is>
          <t>تیر</t>
        </is>
      </c>
      <c r="D106" s="9" t="n">
        <v>12</v>
      </c>
      <c r="E106" s="9" t="inlineStr">
        <is>
          <t>تابستان</t>
        </is>
      </c>
      <c r="F106" s="9" t="inlineStr"/>
      <c r="G106" s="9">
        <f>COUNTIF('کارهای 1405'!$G:$G,A106)</f>
        <v/>
      </c>
      <c r="H106" s="9">
        <f>COUNTIFS('کارهای 1405'!$G:$G,A106,'کارهای 1405'!$L:$L,"&lt;&gt;انجام شده",'کارهای 1405'!$L:$L,"&lt;&gt;لغو شده")</f>
        <v/>
      </c>
      <c r="I106" s="9" t="inlineStr"/>
    </row>
    <row r="107">
      <c r="A107" s="10" t="n">
        <v>46207</v>
      </c>
      <c r="B107" s="9" t="inlineStr">
        <is>
          <t>1405/04/13</t>
        </is>
      </c>
      <c r="C107" s="9" t="inlineStr">
        <is>
          <t>تیر</t>
        </is>
      </c>
      <c r="D107" s="9" t="n">
        <v>13</v>
      </c>
      <c r="E107" s="9" t="inlineStr">
        <is>
          <t>تابستان</t>
        </is>
      </c>
      <c r="F107" s="9" t="inlineStr"/>
      <c r="G107" s="9">
        <f>COUNTIF('کارهای 1405'!$G:$G,A107)</f>
        <v/>
      </c>
      <c r="H107" s="9">
        <f>COUNTIFS('کارهای 1405'!$G:$G,A107,'کارهای 1405'!$L:$L,"&lt;&gt;انجام شده",'کارهای 1405'!$L:$L,"&lt;&gt;لغو شده")</f>
        <v/>
      </c>
      <c r="I107" s="9" t="inlineStr"/>
    </row>
    <row r="108">
      <c r="A108" s="10" t="n">
        <v>46208</v>
      </c>
      <c r="B108" s="9" t="inlineStr">
        <is>
          <t>1405/04/14</t>
        </is>
      </c>
      <c r="C108" s="9" t="inlineStr">
        <is>
          <t>تیر</t>
        </is>
      </c>
      <c r="D108" s="9" t="n">
        <v>14</v>
      </c>
      <c r="E108" s="9" t="inlineStr">
        <is>
          <t>تابستان</t>
        </is>
      </c>
      <c r="F108" s="9" t="inlineStr"/>
      <c r="G108" s="9">
        <f>COUNTIF('کارهای 1405'!$G:$G,A108)</f>
        <v/>
      </c>
      <c r="H108" s="9">
        <f>COUNTIFS('کارهای 1405'!$G:$G,A108,'کارهای 1405'!$L:$L,"&lt;&gt;انجام شده",'کارهای 1405'!$L:$L,"&lt;&gt;لغو شده")</f>
        <v/>
      </c>
      <c r="I108" s="9" t="inlineStr"/>
    </row>
    <row r="109">
      <c r="A109" s="10" t="n">
        <v>46209</v>
      </c>
      <c r="B109" s="9" t="inlineStr">
        <is>
          <t>1405/04/15</t>
        </is>
      </c>
      <c r="C109" s="9" t="inlineStr">
        <is>
          <t>تیر</t>
        </is>
      </c>
      <c r="D109" s="9" t="n">
        <v>15</v>
      </c>
      <c r="E109" s="9" t="inlineStr">
        <is>
          <t>تابستان</t>
        </is>
      </c>
      <c r="F109" s="9" t="inlineStr"/>
      <c r="G109" s="9">
        <f>COUNTIF('کارهای 1405'!$G:$G,A109)</f>
        <v/>
      </c>
      <c r="H109" s="9">
        <f>COUNTIFS('کارهای 1405'!$G:$G,A109,'کارهای 1405'!$L:$L,"&lt;&gt;انجام شده",'کارهای 1405'!$L:$L,"&lt;&gt;لغو شده")</f>
        <v/>
      </c>
      <c r="I109" s="9" t="inlineStr"/>
    </row>
    <row r="110">
      <c r="A110" s="10" t="n">
        <v>46210</v>
      </c>
      <c r="B110" s="9" t="inlineStr">
        <is>
          <t>1405/04/16</t>
        </is>
      </c>
      <c r="C110" s="9" t="inlineStr">
        <is>
          <t>تیر</t>
        </is>
      </c>
      <c r="D110" s="9" t="n">
        <v>16</v>
      </c>
      <c r="E110" s="9" t="inlineStr">
        <is>
          <t>تابستان</t>
        </is>
      </c>
      <c r="F110" s="9" t="inlineStr"/>
      <c r="G110" s="9">
        <f>COUNTIF('کارهای 1405'!$G:$G,A110)</f>
        <v/>
      </c>
      <c r="H110" s="9">
        <f>COUNTIFS('کارهای 1405'!$G:$G,A110,'کارهای 1405'!$L:$L,"&lt;&gt;انجام شده",'کارهای 1405'!$L:$L,"&lt;&gt;لغو شده")</f>
        <v/>
      </c>
      <c r="I110" s="9" t="inlineStr"/>
    </row>
    <row r="111">
      <c r="A111" s="10" t="n">
        <v>46211</v>
      </c>
      <c r="B111" s="9" t="inlineStr">
        <is>
          <t>1405/04/17</t>
        </is>
      </c>
      <c r="C111" s="9" t="inlineStr">
        <is>
          <t>تیر</t>
        </is>
      </c>
      <c r="D111" s="9" t="n">
        <v>17</v>
      </c>
      <c r="E111" s="9" t="inlineStr">
        <is>
          <t>تابستان</t>
        </is>
      </c>
      <c r="F111" s="9" t="inlineStr"/>
      <c r="G111" s="9">
        <f>COUNTIF('کارهای 1405'!$G:$G,A111)</f>
        <v/>
      </c>
      <c r="H111" s="9">
        <f>COUNTIFS('کارهای 1405'!$G:$G,A111,'کارهای 1405'!$L:$L,"&lt;&gt;انجام شده",'کارهای 1405'!$L:$L,"&lt;&gt;لغو شده")</f>
        <v/>
      </c>
      <c r="I111" s="9" t="inlineStr"/>
    </row>
    <row r="112">
      <c r="A112" s="10" t="n">
        <v>46212</v>
      </c>
      <c r="B112" s="9" t="inlineStr">
        <is>
          <t>1405/04/18</t>
        </is>
      </c>
      <c r="C112" s="9" t="inlineStr">
        <is>
          <t>تیر</t>
        </is>
      </c>
      <c r="D112" s="9" t="n">
        <v>18</v>
      </c>
      <c r="E112" s="9" t="inlineStr">
        <is>
          <t>تابستان</t>
        </is>
      </c>
      <c r="F112" s="9" t="inlineStr"/>
      <c r="G112" s="9">
        <f>COUNTIF('کارهای 1405'!$G:$G,A112)</f>
        <v/>
      </c>
      <c r="H112" s="9">
        <f>COUNTIFS('کارهای 1405'!$G:$G,A112,'کارهای 1405'!$L:$L,"&lt;&gt;انجام شده",'کارهای 1405'!$L:$L,"&lt;&gt;لغو شده")</f>
        <v/>
      </c>
      <c r="I112" s="9" t="inlineStr"/>
    </row>
    <row r="113">
      <c r="A113" s="10" t="n">
        <v>46213</v>
      </c>
      <c r="B113" s="9" t="inlineStr">
        <is>
          <t>1405/04/19</t>
        </is>
      </c>
      <c r="C113" s="9" t="inlineStr">
        <is>
          <t>تیر</t>
        </is>
      </c>
      <c r="D113" s="9" t="n">
        <v>19</v>
      </c>
      <c r="E113" s="9" t="inlineStr">
        <is>
          <t>تابستان</t>
        </is>
      </c>
      <c r="F113" s="9" t="inlineStr"/>
      <c r="G113" s="9">
        <f>COUNTIF('کارهای 1405'!$G:$G,A113)</f>
        <v/>
      </c>
      <c r="H113" s="9">
        <f>COUNTIFS('کارهای 1405'!$G:$G,A113,'کارهای 1405'!$L:$L,"&lt;&gt;انجام شده",'کارهای 1405'!$L:$L,"&lt;&gt;لغو شده")</f>
        <v/>
      </c>
      <c r="I113" s="9" t="inlineStr"/>
    </row>
    <row r="114">
      <c r="A114" s="10" t="n">
        <v>46214</v>
      </c>
      <c r="B114" s="9" t="inlineStr">
        <is>
          <t>1405/04/20</t>
        </is>
      </c>
      <c r="C114" s="9" t="inlineStr">
        <is>
          <t>تیر</t>
        </is>
      </c>
      <c r="D114" s="9" t="n">
        <v>20</v>
      </c>
      <c r="E114" s="9" t="inlineStr">
        <is>
          <t>تابستان</t>
        </is>
      </c>
      <c r="F114" s="9" t="inlineStr"/>
      <c r="G114" s="9">
        <f>COUNTIF('کارهای 1405'!$G:$G,A114)</f>
        <v/>
      </c>
      <c r="H114" s="9">
        <f>COUNTIFS('کارهای 1405'!$G:$G,A114,'کارهای 1405'!$L:$L,"&lt;&gt;انجام شده",'کارهای 1405'!$L:$L,"&lt;&gt;لغو شده")</f>
        <v/>
      </c>
      <c r="I114" s="9" t="inlineStr"/>
    </row>
    <row r="115">
      <c r="A115" s="10" t="n">
        <v>46215</v>
      </c>
      <c r="B115" s="9" t="inlineStr">
        <is>
          <t>1405/04/21</t>
        </is>
      </c>
      <c r="C115" s="9" t="inlineStr">
        <is>
          <t>تیر</t>
        </is>
      </c>
      <c r="D115" s="9" t="n">
        <v>21</v>
      </c>
      <c r="E115" s="9" t="inlineStr">
        <is>
          <t>تابستان</t>
        </is>
      </c>
      <c r="F115" s="9" t="inlineStr"/>
      <c r="G115" s="9">
        <f>COUNTIF('کارهای 1405'!$G:$G,A115)</f>
        <v/>
      </c>
      <c r="H115" s="9">
        <f>COUNTIFS('کارهای 1405'!$G:$G,A115,'کارهای 1405'!$L:$L,"&lt;&gt;انجام شده",'کارهای 1405'!$L:$L,"&lt;&gt;لغو شده")</f>
        <v/>
      </c>
      <c r="I115" s="9" t="inlineStr"/>
    </row>
    <row r="116">
      <c r="A116" s="10" t="n">
        <v>46216</v>
      </c>
      <c r="B116" s="9" t="inlineStr">
        <is>
          <t>1405/04/22</t>
        </is>
      </c>
      <c r="C116" s="9" t="inlineStr">
        <is>
          <t>تیر</t>
        </is>
      </c>
      <c r="D116" s="9" t="n">
        <v>22</v>
      </c>
      <c r="E116" s="9" t="inlineStr">
        <is>
          <t>تابستان</t>
        </is>
      </c>
      <c r="F116" s="9" t="inlineStr"/>
      <c r="G116" s="9">
        <f>COUNTIF('کارهای 1405'!$G:$G,A116)</f>
        <v/>
      </c>
      <c r="H116" s="9">
        <f>COUNTIFS('کارهای 1405'!$G:$G,A116,'کارهای 1405'!$L:$L,"&lt;&gt;انجام شده",'کارهای 1405'!$L:$L,"&lt;&gt;لغو شده")</f>
        <v/>
      </c>
      <c r="I116" s="9" t="inlineStr"/>
    </row>
    <row r="117">
      <c r="A117" s="10" t="n">
        <v>46217</v>
      </c>
      <c r="B117" s="9" t="inlineStr">
        <is>
          <t>1405/04/23</t>
        </is>
      </c>
      <c r="C117" s="9" t="inlineStr">
        <is>
          <t>تیر</t>
        </is>
      </c>
      <c r="D117" s="9" t="n">
        <v>23</v>
      </c>
      <c r="E117" s="9" t="inlineStr">
        <is>
          <t>تابستان</t>
        </is>
      </c>
      <c r="F117" s="9" t="inlineStr"/>
      <c r="G117" s="9">
        <f>COUNTIF('کارهای 1405'!$G:$G,A117)</f>
        <v/>
      </c>
      <c r="H117" s="9">
        <f>COUNTIFS('کارهای 1405'!$G:$G,A117,'کارهای 1405'!$L:$L,"&lt;&gt;انجام شده",'کارهای 1405'!$L:$L,"&lt;&gt;لغو شده")</f>
        <v/>
      </c>
      <c r="I117" s="9" t="inlineStr"/>
    </row>
    <row r="118">
      <c r="A118" s="10" t="n">
        <v>46218</v>
      </c>
      <c r="B118" s="9" t="inlineStr">
        <is>
          <t>1405/04/24</t>
        </is>
      </c>
      <c r="C118" s="9" t="inlineStr">
        <is>
          <t>تیر</t>
        </is>
      </c>
      <c r="D118" s="9" t="n">
        <v>24</v>
      </c>
      <c r="E118" s="9" t="inlineStr">
        <is>
          <t>تابستان</t>
        </is>
      </c>
      <c r="F118" s="9" t="inlineStr"/>
      <c r="G118" s="9">
        <f>COUNTIF('کارهای 1405'!$G:$G,A118)</f>
        <v/>
      </c>
      <c r="H118" s="9">
        <f>COUNTIFS('کارهای 1405'!$G:$G,A118,'کارهای 1405'!$L:$L,"&lt;&gt;انجام شده",'کارهای 1405'!$L:$L,"&lt;&gt;لغو شده")</f>
        <v/>
      </c>
      <c r="I118" s="9" t="inlineStr"/>
    </row>
    <row r="119">
      <c r="A119" s="10" t="n">
        <v>46219</v>
      </c>
      <c r="B119" s="9" t="inlineStr">
        <is>
          <t>1405/04/25</t>
        </is>
      </c>
      <c r="C119" s="9" t="inlineStr">
        <is>
          <t>تیر</t>
        </is>
      </c>
      <c r="D119" s="9" t="n">
        <v>25</v>
      </c>
      <c r="E119" s="9" t="inlineStr">
        <is>
          <t>تابستان</t>
        </is>
      </c>
      <c r="F119" s="9" t="inlineStr"/>
      <c r="G119" s="9">
        <f>COUNTIF('کارهای 1405'!$G:$G,A119)</f>
        <v/>
      </c>
      <c r="H119" s="9">
        <f>COUNTIFS('کارهای 1405'!$G:$G,A119,'کارهای 1405'!$L:$L,"&lt;&gt;انجام شده",'کارهای 1405'!$L:$L,"&lt;&gt;لغو شده")</f>
        <v/>
      </c>
      <c r="I119" s="9" t="inlineStr"/>
    </row>
    <row r="120">
      <c r="A120" s="10" t="n">
        <v>46220</v>
      </c>
      <c r="B120" s="9" t="inlineStr">
        <is>
          <t>1405/04/26</t>
        </is>
      </c>
      <c r="C120" s="9" t="inlineStr">
        <is>
          <t>تیر</t>
        </is>
      </c>
      <c r="D120" s="9" t="n">
        <v>26</v>
      </c>
      <c r="E120" s="9" t="inlineStr">
        <is>
          <t>تابستان</t>
        </is>
      </c>
      <c r="F120" s="9" t="inlineStr"/>
      <c r="G120" s="9">
        <f>COUNTIF('کارهای 1405'!$G:$G,A120)</f>
        <v/>
      </c>
      <c r="H120" s="9">
        <f>COUNTIFS('کارهای 1405'!$G:$G,A120,'کارهای 1405'!$L:$L,"&lt;&gt;انجام شده",'کارهای 1405'!$L:$L,"&lt;&gt;لغو شده")</f>
        <v/>
      </c>
      <c r="I120" s="9" t="inlineStr"/>
    </row>
    <row r="121">
      <c r="A121" s="10" t="n">
        <v>46221</v>
      </c>
      <c r="B121" s="9" t="inlineStr">
        <is>
          <t>1405/04/27</t>
        </is>
      </c>
      <c r="C121" s="9" t="inlineStr">
        <is>
          <t>تیر</t>
        </is>
      </c>
      <c r="D121" s="9" t="n">
        <v>27</v>
      </c>
      <c r="E121" s="9" t="inlineStr">
        <is>
          <t>تابستان</t>
        </is>
      </c>
      <c r="F121" s="9" t="inlineStr"/>
      <c r="G121" s="9">
        <f>COUNTIF('کارهای 1405'!$G:$G,A121)</f>
        <v/>
      </c>
      <c r="H121" s="9">
        <f>COUNTIFS('کارهای 1405'!$G:$G,A121,'کارهای 1405'!$L:$L,"&lt;&gt;انجام شده",'کارهای 1405'!$L:$L,"&lt;&gt;لغو شده")</f>
        <v/>
      </c>
      <c r="I121" s="9" t="inlineStr"/>
    </row>
    <row r="122">
      <c r="A122" s="10" t="n">
        <v>46222</v>
      </c>
      <c r="B122" s="9" t="inlineStr">
        <is>
          <t>1405/04/28</t>
        </is>
      </c>
      <c r="C122" s="9" t="inlineStr">
        <is>
          <t>تیر</t>
        </is>
      </c>
      <c r="D122" s="9" t="n">
        <v>28</v>
      </c>
      <c r="E122" s="9" t="inlineStr">
        <is>
          <t>تابستان</t>
        </is>
      </c>
      <c r="F122" s="9" t="inlineStr"/>
      <c r="G122" s="9">
        <f>COUNTIF('کارهای 1405'!$G:$G,A122)</f>
        <v/>
      </c>
      <c r="H122" s="9">
        <f>COUNTIFS('کارهای 1405'!$G:$G,A122,'کارهای 1405'!$L:$L,"&lt;&gt;انجام شده",'کارهای 1405'!$L:$L,"&lt;&gt;لغو شده")</f>
        <v/>
      </c>
      <c r="I122" s="9" t="inlineStr"/>
    </row>
    <row r="123">
      <c r="A123" s="10" t="n">
        <v>46223</v>
      </c>
      <c r="B123" s="9" t="inlineStr">
        <is>
          <t>1405/04/29</t>
        </is>
      </c>
      <c r="C123" s="9" t="inlineStr">
        <is>
          <t>تیر</t>
        </is>
      </c>
      <c r="D123" s="9" t="n">
        <v>29</v>
      </c>
      <c r="E123" s="9" t="inlineStr">
        <is>
          <t>تابستان</t>
        </is>
      </c>
      <c r="F123" s="9" t="inlineStr"/>
      <c r="G123" s="9">
        <f>COUNTIF('کارهای 1405'!$G:$G,A123)</f>
        <v/>
      </c>
      <c r="H123" s="9">
        <f>COUNTIFS('کارهای 1405'!$G:$G,A123,'کارهای 1405'!$L:$L,"&lt;&gt;انجام شده",'کارهای 1405'!$L:$L,"&lt;&gt;لغو شده")</f>
        <v/>
      </c>
      <c r="I123" s="9" t="inlineStr"/>
    </row>
    <row r="124">
      <c r="A124" s="10" t="n">
        <v>46224</v>
      </c>
      <c r="B124" s="9" t="inlineStr">
        <is>
          <t>1405/04/30</t>
        </is>
      </c>
      <c r="C124" s="9" t="inlineStr">
        <is>
          <t>تیر</t>
        </is>
      </c>
      <c r="D124" s="9" t="n">
        <v>30</v>
      </c>
      <c r="E124" s="9" t="inlineStr">
        <is>
          <t>تابستان</t>
        </is>
      </c>
      <c r="F124" s="9" t="inlineStr"/>
      <c r="G124" s="9">
        <f>COUNTIF('کارهای 1405'!$G:$G,A124)</f>
        <v/>
      </c>
      <c r="H124" s="9">
        <f>COUNTIFS('کارهای 1405'!$G:$G,A124,'کارهای 1405'!$L:$L,"&lt;&gt;انجام شده",'کارهای 1405'!$L:$L,"&lt;&gt;لغو شده")</f>
        <v/>
      </c>
      <c r="I124" s="9" t="inlineStr"/>
    </row>
    <row r="125">
      <c r="A125" s="10" t="n">
        <v>46225</v>
      </c>
      <c r="B125" s="9" t="inlineStr">
        <is>
          <t>1405/04/31</t>
        </is>
      </c>
      <c r="C125" s="9" t="inlineStr">
        <is>
          <t>تیر</t>
        </is>
      </c>
      <c r="D125" s="9" t="n">
        <v>31</v>
      </c>
      <c r="E125" s="9" t="inlineStr">
        <is>
          <t>تابستان</t>
        </is>
      </c>
      <c r="F125" s="9" t="inlineStr"/>
      <c r="G125" s="9">
        <f>COUNTIF('کارهای 1405'!$G:$G,A125)</f>
        <v/>
      </c>
      <c r="H125" s="9">
        <f>COUNTIFS('کارهای 1405'!$G:$G,A125,'کارهای 1405'!$L:$L,"&lt;&gt;انجام شده",'کارهای 1405'!$L:$L,"&lt;&gt;لغو شده")</f>
        <v/>
      </c>
      <c r="I125" s="9" t="inlineStr"/>
    </row>
    <row r="126">
      <c r="A126" s="10" t="n">
        <v>46226</v>
      </c>
      <c r="B126" s="9" t="inlineStr">
        <is>
          <t>1405/05/01</t>
        </is>
      </c>
      <c r="C126" s="9" t="inlineStr">
        <is>
          <t>مرداد</t>
        </is>
      </c>
      <c r="D126" s="9" t="n">
        <v>1</v>
      </c>
      <c r="E126" s="9" t="inlineStr">
        <is>
          <t>تابستان</t>
        </is>
      </c>
      <c r="F126" s="9" t="inlineStr"/>
      <c r="G126" s="9">
        <f>COUNTIF('کارهای 1405'!$G:$G,A126)</f>
        <v/>
      </c>
      <c r="H126" s="9">
        <f>COUNTIFS('کارهای 1405'!$G:$G,A126,'کارهای 1405'!$L:$L,"&lt;&gt;انجام شده",'کارهای 1405'!$L:$L,"&lt;&gt;لغو شده")</f>
        <v/>
      </c>
      <c r="I126" s="9" t="inlineStr"/>
    </row>
    <row r="127">
      <c r="A127" s="10" t="n">
        <v>46227</v>
      </c>
      <c r="B127" s="9" t="inlineStr">
        <is>
          <t>1405/05/02</t>
        </is>
      </c>
      <c r="C127" s="9" t="inlineStr">
        <is>
          <t>مرداد</t>
        </is>
      </c>
      <c r="D127" s="9" t="n">
        <v>2</v>
      </c>
      <c r="E127" s="9" t="inlineStr">
        <is>
          <t>تابستان</t>
        </is>
      </c>
      <c r="F127" s="9" t="inlineStr"/>
      <c r="G127" s="9">
        <f>COUNTIF('کارهای 1405'!$G:$G,A127)</f>
        <v/>
      </c>
      <c r="H127" s="9">
        <f>COUNTIFS('کارهای 1405'!$G:$G,A127,'کارهای 1405'!$L:$L,"&lt;&gt;انجام شده",'کارهای 1405'!$L:$L,"&lt;&gt;لغو شده")</f>
        <v/>
      </c>
      <c r="I127" s="9" t="inlineStr"/>
    </row>
    <row r="128">
      <c r="A128" s="10" t="n">
        <v>46228</v>
      </c>
      <c r="B128" s="9" t="inlineStr">
        <is>
          <t>1405/05/03</t>
        </is>
      </c>
      <c r="C128" s="9" t="inlineStr">
        <is>
          <t>مرداد</t>
        </is>
      </c>
      <c r="D128" s="9" t="n">
        <v>3</v>
      </c>
      <c r="E128" s="9" t="inlineStr">
        <is>
          <t>تابستان</t>
        </is>
      </c>
      <c r="F128" s="9" t="inlineStr"/>
      <c r="G128" s="9">
        <f>COUNTIF('کارهای 1405'!$G:$G,A128)</f>
        <v/>
      </c>
      <c r="H128" s="9">
        <f>COUNTIFS('کارهای 1405'!$G:$G,A128,'کارهای 1405'!$L:$L,"&lt;&gt;انجام شده",'کارهای 1405'!$L:$L,"&lt;&gt;لغو شده")</f>
        <v/>
      </c>
      <c r="I128" s="9" t="inlineStr"/>
    </row>
    <row r="129">
      <c r="A129" s="10" t="n">
        <v>46229</v>
      </c>
      <c r="B129" s="9" t="inlineStr">
        <is>
          <t>1405/05/04</t>
        </is>
      </c>
      <c r="C129" s="9" t="inlineStr">
        <is>
          <t>مرداد</t>
        </is>
      </c>
      <c r="D129" s="9" t="n">
        <v>4</v>
      </c>
      <c r="E129" s="9" t="inlineStr">
        <is>
          <t>تابستان</t>
        </is>
      </c>
      <c r="F129" s="9" t="inlineStr"/>
      <c r="G129" s="9">
        <f>COUNTIF('کارهای 1405'!$G:$G,A129)</f>
        <v/>
      </c>
      <c r="H129" s="9">
        <f>COUNTIFS('کارهای 1405'!$G:$G,A129,'کارهای 1405'!$L:$L,"&lt;&gt;انجام شده",'کارهای 1405'!$L:$L,"&lt;&gt;لغو شده")</f>
        <v/>
      </c>
      <c r="I129" s="9" t="inlineStr"/>
    </row>
    <row r="130">
      <c r="A130" s="10" t="n">
        <v>46230</v>
      </c>
      <c r="B130" s="9" t="inlineStr">
        <is>
          <t>1405/05/05</t>
        </is>
      </c>
      <c r="C130" s="9" t="inlineStr">
        <is>
          <t>مرداد</t>
        </is>
      </c>
      <c r="D130" s="9" t="n">
        <v>5</v>
      </c>
      <c r="E130" s="9" t="inlineStr">
        <is>
          <t>تابستان</t>
        </is>
      </c>
      <c r="F130" s="9" t="inlineStr"/>
      <c r="G130" s="9">
        <f>COUNTIF('کارهای 1405'!$G:$G,A130)</f>
        <v/>
      </c>
      <c r="H130" s="9">
        <f>COUNTIFS('کارهای 1405'!$G:$G,A130,'کارهای 1405'!$L:$L,"&lt;&gt;انجام شده",'کارهای 1405'!$L:$L,"&lt;&gt;لغو شده")</f>
        <v/>
      </c>
      <c r="I130" s="9" t="inlineStr"/>
    </row>
    <row r="131">
      <c r="A131" s="10" t="n">
        <v>46231</v>
      </c>
      <c r="B131" s="9" t="inlineStr">
        <is>
          <t>1405/05/06</t>
        </is>
      </c>
      <c r="C131" s="9" t="inlineStr">
        <is>
          <t>مرداد</t>
        </is>
      </c>
      <c r="D131" s="9" t="n">
        <v>6</v>
      </c>
      <c r="E131" s="9" t="inlineStr">
        <is>
          <t>تابستان</t>
        </is>
      </c>
      <c r="F131" s="9" t="inlineStr"/>
      <c r="G131" s="9">
        <f>COUNTIF('کارهای 1405'!$G:$G,A131)</f>
        <v/>
      </c>
      <c r="H131" s="9">
        <f>COUNTIFS('کارهای 1405'!$G:$G,A131,'کارهای 1405'!$L:$L,"&lt;&gt;انجام شده",'کارهای 1405'!$L:$L,"&lt;&gt;لغو شده")</f>
        <v/>
      </c>
      <c r="I131" s="9" t="inlineStr"/>
    </row>
    <row r="132">
      <c r="A132" s="10" t="n">
        <v>46232</v>
      </c>
      <c r="B132" s="9" t="inlineStr">
        <is>
          <t>1405/05/07</t>
        </is>
      </c>
      <c r="C132" s="9" t="inlineStr">
        <is>
          <t>مرداد</t>
        </is>
      </c>
      <c r="D132" s="9" t="n">
        <v>7</v>
      </c>
      <c r="E132" s="9" t="inlineStr">
        <is>
          <t>تابستان</t>
        </is>
      </c>
      <c r="F132" s="9" t="inlineStr"/>
      <c r="G132" s="9">
        <f>COUNTIF('کارهای 1405'!$G:$G,A132)</f>
        <v/>
      </c>
      <c r="H132" s="9">
        <f>COUNTIFS('کارهای 1405'!$G:$G,A132,'کارهای 1405'!$L:$L,"&lt;&gt;انجام شده",'کارهای 1405'!$L:$L,"&lt;&gt;لغو شده")</f>
        <v/>
      </c>
      <c r="I132" s="9" t="inlineStr"/>
    </row>
    <row r="133">
      <c r="A133" s="10" t="n">
        <v>46233</v>
      </c>
      <c r="B133" s="9" t="inlineStr">
        <is>
          <t>1405/05/08</t>
        </is>
      </c>
      <c r="C133" s="9" t="inlineStr">
        <is>
          <t>مرداد</t>
        </is>
      </c>
      <c r="D133" s="9" t="n">
        <v>8</v>
      </c>
      <c r="E133" s="9" t="inlineStr">
        <is>
          <t>تابستان</t>
        </is>
      </c>
      <c r="F133" s="9" t="inlineStr"/>
      <c r="G133" s="9">
        <f>COUNTIF('کارهای 1405'!$G:$G,A133)</f>
        <v/>
      </c>
      <c r="H133" s="9">
        <f>COUNTIFS('کارهای 1405'!$G:$G,A133,'کارهای 1405'!$L:$L,"&lt;&gt;انجام شده",'کارهای 1405'!$L:$L,"&lt;&gt;لغو شده")</f>
        <v/>
      </c>
      <c r="I133" s="9" t="inlineStr"/>
    </row>
    <row r="134">
      <c r="A134" s="10" t="n">
        <v>46234</v>
      </c>
      <c r="B134" s="9" t="inlineStr">
        <is>
          <t>1405/05/09</t>
        </is>
      </c>
      <c r="C134" s="9" t="inlineStr">
        <is>
          <t>مرداد</t>
        </is>
      </c>
      <c r="D134" s="9" t="n">
        <v>9</v>
      </c>
      <c r="E134" s="9" t="inlineStr">
        <is>
          <t>تابستان</t>
        </is>
      </c>
      <c r="F134" s="9" t="inlineStr"/>
      <c r="G134" s="9">
        <f>COUNTIF('کارهای 1405'!$G:$G,A134)</f>
        <v/>
      </c>
      <c r="H134" s="9">
        <f>COUNTIFS('کارهای 1405'!$G:$G,A134,'کارهای 1405'!$L:$L,"&lt;&gt;انجام شده",'کارهای 1405'!$L:$L,"&lt;&gt;لغو شده")</f>
        <v/>
      </c>
      <c r="I134" s="9" t="inlineStr"/>
    </row>
    <row r="135">
      <c r="A135" s="10" t="n">
        <v>46235</v>
      </c>
      <c r="B135" s="9" t="inlineStr">
        <is>
          <t>1405/05/10</t>
        </is>
      </c>
      <c r="C135" s="9" t="inlineStr">
        <is>
          <t>مرداد</t>
        </is>
      </c>
      <c r="D135" s="9" t="n">
        <v>10</v>
      </c>
      <c r="E135" s="9" t="inlineStr">
        <is>
          <t>تابستان</t>
        </is>
      </c>
      <c r="F135" s="9" t="inlineStr"/>
      <c r="G135" s="9">
        <f>COUNTIF('کارهای 1405'!$G:$G,A135)</f>
        <v/>
      </c>
      <c r="H135" s="9">
        <f>COUNTIFS('کارهای 1405'!$G:$G,A135,'کارهای 1405'!$L:$L,"&lt;&gt;انجام شده",'کارهای 1405'!$L:$L,"&lt;&gt;لغو شده")</f>
        <v/>
      </c>
      <c r="I135" s="9" t="inlineStr"/>
    </row>
    <row r="136">
      <c r="A136" s="10" t="n">
        <v>46236</v>
      </c>
      <c r="B136" s="9" t="inlineStr">
        <is>
          <t>1405/05/11</t>
        </is>
      </c>
      <c r="C136" s="9" t="inlineStr">
        <is>
          <t>مرداد</t>
        </is>
      </c>
      <c r="D136" s="9" t="n">
        <v>11</v>
      </c>
      <c r="E136" s="9" t="inlineStr">
        <is>
          <t>تابستان</t>
        </is>
      </c>
      <c r="F136" s="9" t="inlineStr"/>
      <c r="G136" s="9">
        <f>COUNTIF('کارهای 1405'!$G:$G,A136)</f>
        <v/>
      </c>
      <c r="H136" s="9">
        <f>COUNTIFS('کارهای 1405'!$G:$G,A136,'کارهای 1405'!$L:$L,"&lt;&gt;انجام شده",'کارهای 1405'!$L:$L,"&lt;&gt;لغو شده")</f>
        <v/>
      </c>
      <c r="I136" s="9" t="inlineStr"/>
    </row>
    <row r="137">
      <c r="A137" s="10" t="n">
        <v>46237</v>
      </c>
      <c r="B137" s="9" t="inlineStr">
        <is>
          <t>1405/05/12</t>
        </is>
      </c>
      <c r="C137" s="9" t="inlineStr">
        <is>
          <t>مرداد</t>
        </is>
      </c>
      <c r="D137" s="9" t="n">
        <v>12</v>
      </c>
      <c r="E137" s="9" t="inlineStr">
        <is>
          <t>تابستان</t>
        </is>
      </c>
      <c r="F137" s="9" t="inlineStr"/>
      <c r="G137" s="9">
        <f>COUNTIF('کارهای 1405'!$G:$G,A137)</f>
        <v/>
      </c>
      <c r="H137" s="9">
        <f>COUNTIFS('کارهای 1405'!$G:$G,A137,'کارهای 1405'!$L:$L,"&lt;&gt;انجام شده",'کارهای 1405'!$L:$L,"&lt;&gt;لغو شده")</f>
        <v/>
      </c>
      <c r="I137" s="9" t="inlineStr"/>
    </row>
    <row r="138">
      <c r="A138" s="10" t="n">
        <v>46238</v>
      </c>
      <c r="B138" s="9" t="inlineStr">
        <is>
          <t>1405/05/13</t>
        </is>
      </c>
      <c r="C138" s="9" t="inlineStr">
        <is>
          <t>مرداد</t>
        </is>
      </c>
      <c r="D138" s="9" t="n">
        <v>13</v>
      </c>
      <c r="E138" s="9" t="inlineStr">
        <is>
          <t>تابستان</t>
        </is>
      </c>
      <c r="F138" s="9" t="inlineStr"/>
      <c r="G138" s="9">
        <f>COUNTIF('کارهای 1405'!$G:$G,A138)</f>
        <v/>
      </c>
      <c r="H138" s="9">
        <f>COUNTIFS('کارهای 1405'!$G:$G,A138,'کارهای 1405'!$L:$L,"&lt;&gt;انجام شده",'کارهای 1405'!$L:$L,"&lt;&gt;لغو شده")</f>
        <v/>
      </c>
      <c r="I138" s="9" t="inlineStr"/>
    </row>
    <row r="139">
      <c r="A139" s="10" t="n">
        <v>46239</v>
      </c>
      <c r="B139" s="9" t="inlineStr">
        <is>
          <t>1405/05/14</t>
        </is>
      </c>
      <c r="C139" s="9" t="inlineStr">
        <is>
          <t>مرداد</t>
        </is>
      </c>
      <c r="D139" s="9" t="n">
        <v>14</v>
      </c>
      <c r="E139" s="9" t="inlineStr">
        <is>
          <t>تابستان</t>
        </is>
      </c>
      <c r="F139" s="9" t="inlineStr"/>
      <c r="G139" s="9">
        <f>COUNTIF('کارهای 1405'!$G:$G,A139)</f>
        <v/>
      </c>
      <c r="H139" s="9">
        <f>COUNTIFS('کارهای 1405'!$G:$G,A139,'کارهای 1405'!$L:$L,"&lt;&gt;انجام شده",'کارهای 1405'!$L:$L,"&lt;&gt;لغو شده")</f>
        <v/>
      </c>
      <c r="I139" s="9" t="inlineStr"/>
    </row>
    <row r="140">
      <c r="A140" s="10" t="n">
        <v>46240</v>
      </c>
      <c r="B140" s="9" t="inlineStr">
        <is>
          <t>1405/05/15</t>
        </is>
      </c>
      <c r="C140" s="9" t="inlineStr">
        <is>
          <t>مرداد</t>
        </is>
      </c>
      <c r="D140" s="9" t="n">
        <v>15</v>
      </c>
      <c r="E140" s="9" t="inlineStr">
        <is>
          <t>تابستان</t>
        </is>
      </c>
      <c r="F140" s="9" t="inlineStr"/>
      <c r="G140" s="9">
        <f>COUNTIF('کارهای 1405'!$G:$G,A140)</f>
        <v/>
      </c>
      <c r="H140" s="9">
        <f>COUNTIFS('کارهای 1405'!$G:$G,A140,'کارهای 1405'!$L:$L,"&lt;&gt;انجام شده",'کارهای 1405'!$L:$L,"&lt;&gt;لغو شده")</f>
        <v/>
      </c>
      <c r="I140" s="9" t="inlineStr"/>
    </row>
    <row r="141">
      <c r="A141" s="10" t="n">
        <v>46241</v>
      </c>
      <c r="B141" s="9" t="inlineStr">
        <is>
          <t>1405/05/16</t>
        </is>
      </c>
      <c r="C141" s="9" t="inlineStr">
        <is>
          <t>مرداد</t>
        </is>
      </c>
      <c r="D141" s="9" t="n">
        <v>16</v>
      </c>
      <c r="E141" s="9" t="inlineStr">
        <is>
          <t>تابستان</t>
        </is>
      </c>
      <c r="F141" s="9" t="inlineStr"/>
      <c r="G141" s="9">
        <f>COUNTIF('کارهای 1405'!$G:$G,A141)</f>
        <v/>
      </c>
      <c r="H141" s="9">
        <f>COUNTIFS('کارهای 1405'!$G:$G,A141,'کارهای 1405'!$L:$L,"&lt;&gt;انجام شده",'کارهای 1405'!$L:$L,"&lt;&gt;لغو شده")</f>
        <v/>
      </c>
      <c r="I141" s="9" t="inlineStr"/>
    </row>
    <row r="142">
      <c r="A142" s="10" t="n">
        <v>46242</v>
      </c>
      <c r="B142" s="9" t="inlineStr">
        <is>
          <t>1405/05/17</t>
        </is>
      </c>
      <c r="C142" s="9" t="inlineStr">
        <is>
          <t>مرداد</t>
        </is>
      </c>
      <c r="D142" s="9" t="n">
        <v>17</v>
      </c>
      <c r="E142" s="9" t="inlineStr">
        <is>
          <t>تابستان</t>
        </is>
      </c>
      <c r="F142" s="9" t="inlineStr"/>
      <c r="G142" s="9">
        <f>COUNTIF('کارهای 1405'!$G:$G,A142)</f>
        <v/>
      </c>
      <c r="H142" s="9">
        <f>COUNTIFS('کارهای 1405'!$G:$G,A142,'کارهای 1405'!$L:$L,"&lt;&gt;انجام شده",'کارهای 1405'!$L:$L,"&lt;&gt;لغو شده")</f>
        <v/>
      </c>
      <c r="I142" s="9" t="inlineStr"/>
    </row>
    <row r="143">
      <c r="A143" s="10" t="n">
        <v>46243</v>
      </c>
      <c r="B143" s="9" t="inlineStr">
        <is>
          <t>1405/05/18</t>
        </is>
      </c>
      <c r="C143" s="9" t="inlineStr">
        <is>
          <t>مرداد</t>
        </is>
      </c>
      <c r="D143" s="9" t="n">
        <v>18</v>
      </c>
      <c r="E143" s="9" t="inlineStr">
        <is>
          <t>تابستان</t>
        </is>
      </c>
      <c r="F143" s="9" t="inlineStr"/>
      <c r="G143" s="9">
        <f>COUNTIF('کارهای 1405'!$G:$G,A143)</f>
        <v/>
      </c>
      <c r="H143" s="9">
        <f>COUNTIFS('کارهای 1405'!$G:$G,A143,'کارهای 1405'!$L:$L,"&lt;&gt;انجام شده",'کارهای 1405'!$L:$L,"&lt;&gt;لغو شده")</f>
        <v/>
      </c>
      <c r="I143" s="9" t="inlineStr"/>
    </row>
    <row r="144">
      <c r="A144" s="10" t="n">
        <v>46244</v>
      </c>
      <c r="B144" s="9" t="inlineStr">
        <is>
          <t>1405/05/19</t>
        </is>
      </c>
      <c r="C144" s="9" t="inlineStr">
        <is>
          <t>مرداد</t>
        </is>
      </c>
      <c r="D144" s="9" t="n">
        <v>19</v>
      </c>
      <c r="E144" s="9" t="inlineStr">
        <is>
          <t>تابستان</t>
        </is>
      </c>
      <c r="F144" s="9" t="inlineStr"/>
      <c r="G144" s="9">
        <f>COUNTIF('کارهای 1405'!$G:$G,A144)</f>
        <v/>
      </c>
      <c r="H144" s="9">
        <f>COUNTIFS('کارهای 1405'!$G:$G,A144,'کارهای 1405'!$L:$L,"&lt;&gt;انجام شده",'کارهای 1405'!$L:$L,"&lt;&gt;لغو شده")</f>
        <v/>
      </c>
      <c r="I144" s="9" t="inlineStr"/>
    </row>
    <row r="145">
      <c r="A145" s="10" t="n">
        <v>46245</v>
      </c>
      <c r="B145" s="9" t="inlineStr">
        <is>
          <t>1405/05/20</t>
        </is>
      </c>
      <c r="C145" s="9" t="inlineStr">
        <is>
          <t>مرداد</t>
        </is>
      </c>
      <c r="D145" s="9" t="n">
        <v>20</v>
      </c>
      <c r="E145" s="9" t="inlineStr">
        <is>
          <t>تابستان</t>
        </is>
      </c>
      <c r="F145" s="9" t="inlineStr"/>
      <c r="G145" s="9">
        <f>COUNTIF('کارهای 1405'!$G:$G,A145)</f>
        <v/>
      </c>
      <c r="H145" s="9">
        <f>COUNTIFS('کارهای 1405'!$G:$G,A145,'کارهای 1405'!$L:$L,"&lt;&gt;انجام شده",'کارهای 1405'!$L:$L,"&lt;&gt;لغو شده")</f>
        <v/>
      </c>
      <c r="I145" s="9" t="inlineStr"/>
    </row>
    <row r="146">
      <c r="A146" s="10" t="n">
        <v>46246</v>
      </c>
      <c r="B146" s="9" t="inlineStr">
        <is>
          <t>1405/05/21</t>
        </is>
      </c>
      <c r="C146" s="9" t="inlineStr">
        <is>
          <t>مرداد</t>
        </is>
      </c>
      <c r="D146" s="9" t="n">
        <v>21</v>
      </c>
      <c r="E146" s="9" t="inlineStr">
        <is>
          <t>تابستان</t>
        </is>
      </c>
      <c r="F146" s="9" t="inlineStr"/>
      <c r="G146" s="9">
        <f>COUNTIF('کارهای 1405'!$G:$G,A146)</f>
        <v/>
      </c>
      <c r="H146" s="9">
        <f>COUNTIFS('کارهای 1405'!$G:$G,A146,'کارهای 1405'!$L:$L,"&lt;&gt;انجام شده",'کارهای 1405'!$L:$L,"&lt;&gt;لغو شده")</f>
        <v/>
      </c>
      <c r="I146" s="9" t="inlineStr"/>
    </row>
    <row r="147">
      <c r="A147" s="10" t="n">
        <v>46247</v>
      </c>
      <c r="B147" s="9" t="inlineStr">
        <is>
          <t>1405/05/22</t>
        </is>
      </c>
      <c r="C147" s="9" t="inlineStr">
        <is>
          <t>مرداد</t>
        </is>
      </c>
      <c r="D147" s="9" t="n">
        <v>22</v>
      </c>
      <c r="E147" s="9" t="inlineStr">
        <is>
          <t>تابستان</t>
        </is>
      </c>
      <c r="F147" s="9" t="inlineStr"/>
      <c r="G147" s="9">
        <f>COUNTIF('کارهای 1405'!$G:$G,A147)</f>
        <v/>
      </c>
      <c r="H147" s="9">
        <f>COUNTIFS('کارهای 1405'!$G:$G,A147,'کارهای 1405'!$L:$L,"&lt;&gt;انجام شده",'کارهای 1405'!$L:$L,"&lt;&gt;لغو شده")</f>
        <v/>
      </c>
      <c r="I147" s="9" t="inlineStr"/>
    </row>
    <row r="148">
      <c r="A148" s="10" t="n">
        <v>46248</v>
      </c>
      <c r="B148" s="9" t="inlineStr">
        <is>
          <t>1405/05/23</t>
        </is>
      </c>
      <c r="C148" s="9" t="inlineStr">
        <is>
          <t>مرداد</t>
        </is>
      </c>
      <c r="D148" s="9" t="n">
        <v>23</v>
      </c>
      <c r="E148" s="9" t="inlineStr">
        <is>
          <t>تابستان</t>
        </is>
      </c>
      <c r="F148" s="9" t="inlineStr"/>
      <c r="G148" s="9">
        <f>COUNTIF('کارهای 1405'!$G:$G,A148)</f>
        <v/>
      </c>
      <c r="H148" s="9">
        <f>COUNTIFS('کارهای 1405'!$G:$G,A148,'کارهای 1405'!$L:$L,"&lt;&gt;انجام شده",'کارهای 1405'!$L:$L,"&lt;&gt;لغو شده")</f>
        <v/>
      </c>
      <c r="I148" s="9" t="inlineStr"/>
    </row>
    <row r="149">
      <c r="A149" s="10" t="n">
        <v>46249</v>
      </c>
      <c r="B149" s="9" t="inlineStr">
        <is>
          <t>1405/05/24</t>
        </is>
      </c>
      <c r="C149" s="9" t="inlineStr">
        <is>
          <t>مرداد</t>
        </is>
      </c>
      <c r="D149" s="9" t="n">
        <v>24</v>
      </c>
      <c r="E149" s="9" t="inlineStr">
        <is>
          <t>تابستان</t>
        </is>
      </c>
      <c r="F149" s="9" t="inlineStr"/>
      <c r="G149" s="9">
        <f>COUNTIF('کارهای 1405'!$G:$G,A149)</f>
        <v/>
      </c>
      <c r="H149" s="9">
        <f>COUNTIFS('کارهای 1405'!$G:$G,A149,'کارهای 1405'!$L:$L,"&lt;&gt;انجام شده",'کارهای 1405'!$L:$L,"&lt;&gt;لغو شده")</f>
        <v/>
      </c>
      <c r="I149" s="9" t="inlineStr"/>
    </row>
    <row r="150">
      <c r="A150" s="10" t="n">
        <v>46250</v>
      </c>
      <c r="B150" s="9" t="inlineStr">
        <is>
          <t>1405/05/25</t>
        </is>
      </c>
      <c r="C150" s="9" t="inlineStr">
        <is>
          <t>مرداد</t>
        </is>
      </c>
      <c r="D150" s="9" t="n">
        <v>25</v>
      </c>
      <c r="E150" s="9" t="inlineStr">
        <is>
          <t>تابستان</t>
        </is>
      </c>
      <c r="F150" s="9" t="inlineStr"/>
      <c r="G150" s="9">
        <f>COUNTIF('کارهای 1405'!$G:$G,A150)</f>
        <v/>
      </c>
      <c r="H150" s="9">
        <f>COUNTIFS('کارهای 1405'!$G:$G,A150,'کارهای 1405'!$L:$L,"&lt;&gt;انجام شده",'کارهای 1405'!$L:$L,"&lt;&gt;لغو شده")</f>
        <v/>
      </c>
      <c r="I150" s="9" t="inlineStr"/>
    </row>
    <row r="151">
      <c r="A151" s="10" t="n">
        <v>46251</v>
      </c>
      <c r="B151" s="9" t="inlineStr">
        <is>
          <t>1405/05/26</t>
        </is>
      </c>
      <c r="C151" s="9" t="inlineStr">
        <is>
          <t>مرداد</t>
        </is>
      </c>
      <c r="D151" s="9" t="n">
        <v>26</v>
      </c>
      <c r="E151" s="9" t="inlineStr">
        <is>
          <t>تابستان</t>
        </is>
      </c>
      <c r="F151" s="9" t="inlineStr"/>
      <c r="G151" s="9">
        <f>COUNTIF('کارهای 1405'!$G:$G,A151)</f>
        <v/>
      </c>
      <c r="H151" s="9">
        <f>COUNTIFS('کارهای 1405'!$G:$G,A151,'کارهای 1405'!$L:$L,"&lt;&gt;انجام شده",'کارهای 1405'!$L:$L,"&lt;&gt;لغو شده")</f>
        <v/>
      </c>
      <c r="I151" s="9" t="inlineStr"/>
    </row>
    <row r="152">
      <c r="A152" s="10" t="n">
        <v>46252</v>
      </c>
      <c r="B152" s="9" t="inlineStr">
        <is>
          <t>1405/05/27</t>
        </is>
      </c>
      <c r="C152" s="9" t="inlineStr">
        <is>
          <t>مرداد</t>
        </is>
      </c>
      <c r="D152" s="9" t="n">
        <v>27</v>
      </c>
      <c r="E152" s="9" t="inlineStr">
        <is>
          <t>تابستان</t>
        </is>
      </c>
      <c r="F152" s="9" t="inlineStr"/>
      <c r="G152" s="9">
        <f>COUNTIF('کارهای 1405'!$G:$G,A152)</f>
        <v/>
      </c>
      <c r="H152" s="9">
        <f>COUNTIFS('کارهای 1405'!$G:$G,A152,'کارهای 1405'!$L:$L,"&lt;&gt;انجام شده",'کارهای 1405'!$L:$L,"&lt;&gt;لغو شده")</f>
        <v/>
      </c>
      <c r="I152" s="9" t="inlineStr"/>
    </row>
    <row r="153">
      <c r="A153" s="10" t="n">
        <v>46253</v>
      </c>
      <c r="B153" s="9" t="inlineStr">
        <is>
          <t>1405/05/28</t>
        </is>
      </c>
      <c r="C153" s="9" t="inlineStr">
        <is>
          <t>مرداد</t>
        </is>
      </c>
      <c r="D153" s="9" t="n">
        <v>28</v>
      </c>
      <c r="E153" s="9" t="inlineStr">
        <is>
          <t>تابستان</t>
        </is>
      </c>
      <c r="F153" s="9" t="inlineStr"/>
      <c r="G153" s="9">
        <f>COUNTIF('کارهای 1405'!$G:$G,A153)</f>
        <v/>
      </c>
      <c r="H153" s="9">
        <f>COUNTIFS('کارهای 1405'!$G:$G,A153,'کارهای 1405'!$L:$L,"&lt;&gt;انجام شده",'کارهای 1405'!$L:$L,"&lt;&gt;لغو شده")</f>
        <v/>
      </c>
      <c r="I153" s="9" t="inlineStr"/>
    </row>
    <row r="154">
      <c r="A154" s="10" t="n">
        <v>46254</v>
      </c>
      <c r="B154" s="9" t="inlineStr">
        <is>
          <t>1405/05/29</t>
        </is>
      </c>
      <c r="C154" s="9" t="inlineStr">
        <is>
          <t>مرداد</t>
        </is>
      </c>
      <c r="D154" s="9" t="n">
        <v>29</v>
      </c>
      <c r="E154" s="9" t="inlineStr">
        <is>
          <t>تابستان</t>
        </is>
      </c>
      <c r="F154" s="9" t="inlineStr"/>
      <c r="G154" s="9">
        <f>COUNTIF('کارهای 1405'!$G:$G,A154)</f>
        <v/>
      </c>
      <c r="H154" s="9">
        <f>COUNTIFS('کارهای 1405'!$G:$G,A154,'کارهای 1405'!$L:$L,"&lt;&gt;انجام شده",'کارهای 1405'!$L:$L,"&lt;&gt;لغو شده")</f>
        <v/>
      </c>
      <c r="I154" s="9" t="inlineStr"/>
    </row>
    <row r="155">
      <c r="A155" s="10" t="n">
        <v>46255</v>
      </c>
      <c r="B155" s="9" t="inlineStr">
        <is>
          <t>1405/05/30</t>
        </is>
      </c>
      <c r="C155" s="9" t="inlineStr">
        <is>
          <t>مرداد</t>
        </is>
      </c>
      <c r="D155" s="9" t="n">
        <v>30</v>
      </c>
      <c r="E155" s="9" t="inlineStr">
        <is>
          <t>تابستان</t>
        </is>
      </c>
      <c r="F155" s="9" t="inlineStr"/>
      <c r="G155" s="9">
        <f>COUNTIF('کارهای 1405'!$G:$G,A155)</f>
        <v/>
      </c>
      <c r="H155" s="9">
        <f>COUNTIFS('کارهای 1405'!$G:$G,A155,'کارهای 1405'!$L:$L,"&lt;&gt;انجام شده",'کارهای 1405'!$L:$L,"&lt;&gt;لغو شده")</f>
        <v/>
      </c>
      <c r="I155" s="9" t="inlineStr"/>
    </row>
    <row r="156">
      <c r="A156" s="10" t="n">
        <v>46256</v>
      </c>
      <c r="B156" s="9" t="inlineStr">
        <is>
          <t>1405/05/31</t>
        </is>
      </c>
      <c r="C156" s="9" t="inlineStr">
        <is>
          <t>مرداد</t>
        </is>
      </c>
      <c r="D156" s="9" t="n">
        <v>31</v>
      </c>
      <c r="E156" s="9" t="inlineStr">
        <is>
          <t>تابستان</t>
        </is>
      </c>
      <c r="F156" s="9" t="inlineStr"/>
      <c r="G156" s="9">
        <f>COUNTIF('کارهای 1405'!$G:$G,A156)</f>
        <v/>
      </c>
      <c r="H156" s="9">
        <f>COUNTIFS('کارهای 1405'!$G:$G,A156,'کارهای 1405'!$L:$L,"&lt;&gt;انجام شده",'کارهای 1405'!$L:$L,"&lt;&gt;لغو شده")</f>
        <v/>
      </c>
      <c r="I156" s="9" t="inlineStr"/>
    </row>
    <row r="157">
      <c r="A157" s="10" t="n">
        <v>46257</v>
      </c>
      <c r="B157" s="9" t="inlineStr">
        <is>
          <t>1405/06/01</t>
        </is>
      </c>
      <c r="C157" s="9" t="inlineStr">
        <is>
          <t>شهریور</t>
        </is>
      </c>
      <c r="D157" s="9" t="n">
        <v>1</v>
      </c>
      <c r="E157" s="9" t="inlineStr">
        <is>
          <t>تابستان</t>
        </is>
      </c>
      <c r="F157" s="9" t="inlineStr"/>
      <c r="G157" s="9">
        <f>COUNTIF('کارهای 1405'!$G:$G,A157)</f>
        <v/>
      </c>
      <c r="H157" s="9">
        <f>COUNTIFS('کارهای 1405'!$G:$G,A157,'کارهای 1405'!$L:$L,"&lt;&gt;انجام شده",'کارهای 1405'!$L:$L,"&lt;&gt;لغو شده")</f>
        <v/>
      </c>
      <c r="I157" s="9" t="inlineStr"/>
    </row>
    <row r="158">
      <c r="A158" s="10" t="n">
        <v>46258</v>
      </c>
      <c r="B158" s="9" t="inlineStr">
        <is>
          <t>1405/06/02</t>
        </is>
      </c>
      <c r="C158" s="9" t="inlineStr">
        <is>
          <t>شهریور</t>
        </is>
      </c>
      <c r="D158" s="9" t="n">
        <v>2</v>
      </c>
      <c r="E158" s="9" t="inlineStr">
        <is>
          <t>تابستان</t>
        </is>
      </c>
      <c r="F158" s="9" t="inlineStr"/>
      <c r="G158" s="9">
        <f>COUNTIF('کارهای 1405'!$G:$G,A158)</f>
        <v/>
      </c>
      <c r="H158" s="9">
        <f>COUNTIFS('کارهای 1405'!$G:$G,A158,'کارهای 1405'!$L:$L,"&lt;&gt;انجام شده",'کارهای 1405'!$L:$L,"&lt;&gt;لغو شده")</f>
        <v/>
      </c>
      <c r="I158" s="9" t="inlineStr"/>
    </row>
    <row r="159">
      <c r="A159" s="10" t="n">
        <v>46259</v>
      </c>
      <c r="B159" s="9" t="inlineStr">
        <is>
          <t>1405/06/03</t>
        </is>
      </c>
      <c r="C159" s="9" t="inlineStr">
        <is>
          <t>شهریور</t>
        </is>
      </c>
      <c r="D159" s="9" t="n">
        <v>3</v>
      </c>
      <c r="E159" s="9" t="inlineStr">
        <is>
          <t>تابستان</t>
        </is>
      </c>
      <c r="F159" s="9" t="inlineStr"/>
      <c r="G159" s="9">
        <f>COUNTIF('کارهای 1405'!$G:$G,A159)</f>
        <v/>
      </c>
      <c r="H159" s="9">
        <f>COUNTIFS('کارهای 1405'!$G:$G,A159,'کارهای 1405'!$L:$L,"&lt;&gt;انجام شده",'کارهای 1405'!$L:$L,"&lt;&gt;لغو شده")</f>
        <v/>
      </c>
      <c r="I159" s="9" t="inlineStr"/>
    </row>
    <row r="160">
      <c r="A160" s="10" t="n">
        <v>46260</v>
      </c>
      <c r="B160" s="9" t="inlineStr">
        <is>
          <t>1405/06/04</t>
        </is>
      </c>
      <c r="C160" s="9" t="inlineStr">
        <is>
          <t>شهریور</t>
        </is>
      </c>
      <c r="D160" s="9" t="n">
        <v>4</v>
      </c>
      <c r="E160" s="9" t="inlineStr">
        <is>
          <t>تابستان</t>
        </is>
      </c>
      <c r="F160" s="9" t="inlineStr"/>
      <c r="G160" s="9">
        <f>COUNTIF('کارهای 1405'!$G:$G,A160)</f>
        <v/>
      </c>
      <c r="H160" s="9">
        <f>COUNTIFS('کارهای 1405'!$G:$G,A160,'کارهای 1405'!$L:$L,"&lt;&gt;انجام شده",'کارهای 1405'!$L:$L,"&lt;&gt;لغو شده")</f>
        <v/>
      </c>
      <c r="I160" s="9" t="inlineStr"/>
    </row>
    <row r="161">
      <c r="A161" s="10" t="n">
        <v>46261</v>
      </c>
      <c r="B161" s="9" t="inlineStr">
        <is>
          <t>1405/06/05</t>
        </is>
      </c>
      <c r="C161" s="9" t="inlineStr">
        <is>
          <t>شهریور</t>
        </is>
      </c>
      <c r="D161" s="9" t="n">
        <v>5</v>
      </c>
      <c r="E161" s="9" t="inlineStr">
        <is>
          <t>تابستان</t>
        </is>
      </c>
      <c r="F161" s="9" t="inlineStr"/>
      <c r="G161" s="9">
        <f>COUNTIF('کارهای 1405'!$G:$G,A161)</f>
        <v/>
      </c>
      <c r="H161" s="9">
        <f>COUNTIFS('کارهای 1405'!$G:$G,A161,'کارهای 1405'!$L:$L,"&lt;&gt;انجام شده",'کارهای 1405'!$L:$L,"&lt;&gt;لغو شده")</f>
        <v/>
      </c>
      <c r="I161" s="9" t="inlineStr"/>
    </row>
    <row r="162">
      <c r="A162" s="10" t="n">
        <v>46262</v>
      </c>
      <c r="B162" s="9" t="inlineStr">
        <is>
          <t>1405/06/06</t>
        </is>
      </c>
      <c r="C162" s="9" t="inlineStr">
        <is>
          <t>شهریور</t>
        </is>
      </c>
      <c r="D162" s="9" t="n">
        <v>6</v>
      </c>
      <c r="E162" s="9" t="inlineStr">
        <is>
          <t>تابستان</t>
        </is>
      </c>
      <c r="F162" s="9" t="inlineStr"/>
      <c r="G162" s="9">
        <f>COUNTIF('کارهای 1405'!$G:$G,A162)</f>
        <v/>
      </c>
      <c r="H162" s="9">
        <f>COUNTIFS('کارهای 1405'!$G:$G,A162,'کارهای 1405'!$L:$L,"&lt;&gt;انجام شده",'کارهای 1405'!$L:$L,"&lt;&gt;لغو شده")</f>
        <v/>
      </c>
      <c r="I162" s="9" t="inlineStr"/>
    </row>
    <row r="163">
      <c r="A163" s="10" t="n">
        <v>46263</v>
      </c>
      <c r="B163" s="9" t="inlineStr">
        <is>
          <t>1405/06/07</t>
        </is>
      </c>
      <c r="C163" s="9" t="inlineStr">
        <is>
          <t>شهریور</t>
        </is>
      </c>
      <c r="D163" s="9" t="n">
        <v>7</v>
      </c>
      <c r="E163" s="9" t="inlineStr">
        <is>
          <t>تابستان</t>
        </is>
      </c>
      <c r="F163" s="9" t="inlineStr"/>
      <c r="G163" s="9">
        <f>COUNTIF('کارهای 1405'!$G:$G,A163)</f>
        <v/>
      </c>
      <c r="H163" s="9">
        <f>COUNTIFS('کارهای 1405'!$G:$G,A163,'کارهای 1405'!$L:$L,"&lt;&gt;انجام شده",'کارهای 1405'!$L:$L,"&lt;&gt;لغو شده")</f>
        <v/>
      </c>
      <c r="I163" s="9" t="inlineStr"/>
    </row>
    <row r="164">
      <c r="A164" s="10" t="n">
        <v>46264</v>
      </c>
      <c r="B164" s="9" t="inlineStr">
        <is>
          <t>1405/06/08</t>
        </is>
      </c>
      <c r="C164" s="9" t="inlineStr">
        <is>
          <t>شهریور</t>
        </is>
      </c>
      <c r="D164" s="9" t="n">
        <v>8</v>
      </c>
      <c r="E164" s="9" t="inlineStr">
        <is>
          <t>تابستان</t>
        </is>
      </c>
      <c r="F164" s="9" t="inlineStr"/>
      <c r="G164" s="9">
        <f>COUNTIF('کارهای 1405'!$G:$G,A164)</f>
        <v/>
      </c>
      <c r="H164" s="9">
        <f>COUNTIFS('کارهای 1405'!$G:$G,A164,'کارهای 1405'!$L:$L,"&lt;&gt;انجام شده",'کارهای 1405'!$L:$L,"&lt;&gt;لغو شده")</f>
        <v/>
      </c>
      <c r="I164" s="9" t="inlineStr"/>
    </row>
    <row r="165">
      <c r="A165" s="10" t="n">
        <v>46265</v>
      </c>
      <c r="B165" s="9" t="inlineStr">
        <is>
          <t>1405/06/09</t>
        </is>
      </c>
      <c r="C165" s="9" t="inlineStr">
        <is>
          <t>شهریور</t>
        </is>
      </c>
      <c r="D165" s="9" t="n">
        <v>9</v>
      </c>
      <c r="E165" s="9" t="inlineStr">
        <is>
          <t>تابستان</t>
        </is>
      </c>
      <c r="F165" s="9" t="inlineStr"/>
      <c r="G165" s="9">
        <f>COUNTIF('کارهای 1405'!$G:$G,A165)</f>
        <v/>
      </c>
      <c r="H165" s="9">
        <f>COUNTIFS('کارهای 1405'!$G:$G,A165,'کارهای 1405'!$L:$L,"&lt;&gt;انجام شده",'کارهای 1405'!$L:$L,"&lt;&gt;لغو شده")</f>
        <v/>
      </c>
      <c r="I165" s="9" t="inlineStr"/>
    </row>
    <row r="166">
      <c r="A166" s="10" t="n">
        <v>46266</v>
      </c>
      <c r="B166" s="9" t="inlineStr">
        <is>
          <t>1405/06/10</t>
        </is>
      </c>
      <c r="C166" s="9" t="inlineStr">
        <is>
          <t>شهریور</t>
        </is>
      </c>
      <c r="D166" s="9" t="n">
        <v>10</v>
      </c>
      <c r="E166" s="9" t="inlineStr">
        <is>
          <t>تابستان</t>
        </is>
      </c>
      <c r="F166" s="9" t="inlineStr"/>
      <c r="G166" s="9">
        <f>COUNTIF('کارهای 1405'!$G:$G,A166)</f>
        <v/>
      </c>
      <c r="H166" s="9">
        <f>COUNTIFS('کارهای 1405'!$G:$G,A166,'کارهای 1405'!$L:$L,"&lt;&gt;انجام شده",'کارهای 1405'!$L:$L,"&lt;&gt;لغو شده")</f>
        <v/>
      </c>
      <c r="I166" s="9" t="inlineStr"/>
    </row>
    <row r="167">
      <c r="A167" s="10" t="n">
        <v>46267</v>
      </c>
      <c r="B167" s="9" t="inlineStr">
        <is>
          <t>1405/06/11</t>
        </is>
      </c>
      <c r="C167" s="9" t="inlineStr">
        <is>
          <t>شهریور</t>
        </is>
      </c>
      <c r="D167" s="9" t="n">
        <v>11</v>
      </c>
      <c r="E167" s="9" t="inlineStr">
        <is>
          <t>تابستان</t>
        </is>
      </c>
      <c r="F167" s="9" t="inlineStr"/>
      <c r="G167" s="9">
        <f>COUNTIF('کارهای 1405'!$G:$G,A167)</f>
        <v/>
      </c>
      <c r="H167" s="9">
        <f>COUNTIFS('کارهای 1405'!$G:$G,A167,'کارهای 1405'!$L:$L,"&lt;&gt;انجام شده",'کارهای 1405'!$L:$L,"&lt;&gt;لغو شده")</f>
        <v/>
      </c>
      <c r="I167" s="9" t="inlineStr"/>
    </row>
    <row r="168">
      <c r="A168" s="10" t="n">
        <v>46268</v>
      </c>
      <c r="B168" s="9" t="inlineStr">
        <is>
          <t>1405/06/12</t>
        </is>
      </c>
      <c r="C168" s="9" t="inlineStr">
        <is>
          <t>شهریور</t>
        </is>
      </c>
      <c r="D168" s="9" t="n">
        <v>12</v>
      </c>
      <c r="E168" s="9" t="inlineStr">
        <is>
          <t>تابستان</t>
        </is>
      </c>
      <c r="F168" s="9" t="inlineStr"/>
      <c r="G168" s="9">
        <f>COUNTIF('کارهای 1405'!$G:$G,A168)</f>
        <v/>
      </c>
      <c r="H168" s="9">
        <f>COUNTIFS('کارهای 1405'!$G:$G,A168,'کارهای 1405'!$L:$L,"&lt;&gt;انجام شده",'کارهای 1405'!$L:$L,"&lt;&gt;لغو شده")</f>
        <v/>
      </c>
      <c r="I168" s="9" t="inlineStr"/>
    </row>
    <row r="169">
      <c r="A169" s="10" t="n">
        <v>46269</v>
      </c>
      <c r="B169" s="9" t="inlineStr">
        <is>
          <t>1405/06/13</t>
        </is>
      </c>
      <c r="C169" s="9" t="inlineStr">
        <is>
          <t>شهریور</t>
        </is>
      </c>
      <c r="D169" s="9" t="n">
        <v>13</v>
      </c>
      <c r="E169" s="9" t="inlineStr">
        <is>
          <t>تابستان</t>
        </is>
      </c>
      <c r="F169" s="9" t="inlineStr"/>
      <c r="G169" s="9">
        <f>COUNTIF('کارهای 1405'!$G:$G,A169)</f>
        <v/>
      </c>
      <c r="H169" s="9">
        <f>COUNTIFS('کارهای 1405'!$G:$G,A169,'کارهای 1405'!$L:$L,"&lt;&gt;انجام شده",'کارهای 1405'!$L:$L,"&lt;&gt;لغو شده")</f>
        <v/>
      </c>
      <c r="I169" s="9" t="inlineStr"/>
    </row>
    <row r="170">
      <c r="A170" s="10" t="n">
        <v>46270</v>
      </c>
      <c r="B170" s="9" t="inlineStr">
        <is>
          <t>1405/06/14</t>
        </is>
      </c>
      <c r="C170" s="9" t="inlineStr">
        <is>
          <t>شهریور</t>
        </is>
      </c>
      <c r="D170" s="9" t="n">
        <v>14</v>
      </c>
      <c r="E170" s="9" t="inlineStr">
        <is>
          <t>تابستان</t>
        </is>
      </c>
      <c r="F170" s="9" t="inlineStr"/>
      <c r="G170" s="9">
        <f>COUNTIF('کارهای 1405'!$G:$G,A170)</f>
        <v/>
      </c>
      <c r="H170" s="9">
        <f>COUNTIFS('کارهای 1405'!$G:$G,A170,'کارهای 1405'!$L:$L,"&lt;&gt;انجام شده",'کارهای 1405'!$L:$L,"&lt;&gt;لغو شده")</f>
        <v/>
      </c>
      <c r="I170" s="9" t="inlineStr"/>
    </row>
    <row r="171">
      <c r="A171" s="10" t="n">
        <v>46271</v>
      </c>
      <c r="B171" s="9" t="inlineStr">
        <is>
          <t>1405/06/15</t>
        </is>
      </c>
      <c r="C171" s="9" t="inlineStr">
        <is>
          <t>شهریور</t>
        </is>
      </c>
      <c r="D171" s="9" t="n">
        <v>15</v>
      </c>
      <c r="E171" s="9" t="inlineStr">
        <is>
          <t>تابستان</t>
        </is>
      </c>
      <c r="F171" s="9" t="inlineStr"/>
      <c r="G171" s="9">
        <f>COUNTIF('کارهای 1405'!$G:$G,A171)</f>
        <v/>
      </c>
      <c r="H171" s="9">
        <f>COUNTIFS('کارهای 1405'!$G:$G,A171,'کارهای 1405'!$L:$L,"&lt;&gt;انجام شده",'کارهای 1405'!$L:$L,"&lt;&gt;لغو شده")</f>
        <v/>
      </c>
      <c r="I171" s="9" t="inlineStr"/>
    </row>
    <row r="172">
      <c r="A172" s="10" t="n">
        <v>46272</v>
      </c>
      <c r="B172" s="9" t="inlineStr">
        <is>
          <t>1405/06/16</t>
        </is>
      </c>
      <c r="C172" s="9" t="inlineStr">
        <is>
          <t>شهریور</t>
        </is>
      </c>
      <c r="D172" s="9" t="n">
        <v>16</v>
      </c>
      <c r="E172" s="9" t="inlineStr">
        <is>
          <t>تابستان</t>
        </is>
      </c>
      <c r="F172" s="9" t="inlineStr"/>
      <c r="G172" s="9">
        <f>COUNTIF('کارهای 1405'!$G:$G,A172)</f>
        <v/>
      </c>
      <c r="H172" s="9">
        <f>COUNTIFS('کارهای 1405'!$G:$G,A172,'کارهای 1405'!$L:$L,"&lt;&gt;انجام شده",'کارهای 1405'!$L:$L,"&lt;&gt;لغو شده")</f>
        <v/>
      </c>
      <c r="I172" s="9" t="inlineStr"/>
    </row>
    <row r="173">
      <c r="A173" s="10" t="n">
        <v>46273</v>
      </c>
      <c r="B173" s="9" t="inlineStr">
        <is>
          <t>1405/06/17</t>
        </is>
      </c>
      <c r="C173" s="9" t="inlineStr">
        <is>
          <t>شهریور</t>
        </is>
      </c>
      <c r="D173" s="9" t="n">
        <v>17</v>
      </c>
      <c r="E173" s="9" t="inlineStr">
        <is>
          <t>تابستان</t>
        </is>
      </c>
      <c r="F173" s="9" t="inlineStr"/>
      <c r="G173" s="9">
        <f>COUNTIF('کارهای 1405'!$G:$G,A173)</f>
        <v/>
      </c>
      <c r="H173" s="9">
        <f>COUNTIFS('کارهای 1405'!$G:$G,A173,'کارهای 1405'!$L:$L,"&lt;&gt;انجام شده",'کارهای 1405'!$L:$L,"&lt;&gt;لغو شده")</f>
        <v/>
      </c>
      <c r="I173" s="9" t="inlineStr"/>
    </row>
    <row r="174">
      <c r="A174" s="10" t="n">
        <v>46274</v>
      </c>
      <c r="B174" s="9" t="inlineStr">
        <is>
          <t>1405/06/18</t>
        </is>
      </c>
      <c r="C174" s="9" t="inlineStr">
        <is>
          <t>شهریور</t>
        </is>
      </c>
      <c r="D174" s="9" t="n">
        <v>18</v>
      </c>
      <c r="E174" s="9" t="inlineStr">
        <is>
          <t>تابستان</t>
        </is>
      </c>
      <c r="F174" s="9" t="inlineStr"/>
      <c r="G174" s="9">
        <f>COUNTIF('کارهای 1405'!$G:$G,A174)</f>
        <v/>
      </c>
      <c r="H174" s="9">
        <f>COUNTIFS('کارهای 1405'!$G:$G,A174,'کارهای 1405'!$L:$L,"&lt;&gt;انجام شده",'کارهای 1405'!$L:$L,"&lt;&gt;لغو شده")</f>
        <v/>
      </c>
      <c r="I174" s="9" t="inlineStr"/>
    </row>
    <row r="175">
      <c r="A175" s="10" t="n">
        <v>46275</v>
      </c>
      <c r="B175" s="9" t="inlineStr">
        <is>
          <t>1405/06/19</t>
        </is>
      </c>
      <c r="C175" s="9" t="inlineStr">
        <is>
          <t>شهریور</t>
        </is>
      </c>
      <c r="D175" s="9" t="n">
        <v>19</v>
      </c>
      <c r="E175" s="9" t="inlineStr">
        <is>
          <t>تابستان</t>
        </is>
      </c>
      <c r="F175" s="9" t="inlineStr"/>
      <c r="G175" s="9">
        <f>COUNTIF('کارهای 1405'!$G:$G,A175)</f>
        <v/>
      </c>
      <c r="H175" s="9">
        <f>COUNTIFS('کارهای 1405'!$G:$G,A175,'کارهای 1405'!$L:$L,"&lt;&gt;انجام شده",'کارهای 1405'!$L:$L,"&lt;&gt;لغو شده")</f>
        <v/>
      </c>
      <c r="I175" s="9" t="inlineStr"/>
    </row>
    <row r="176">
      <c r="A176" s="10" t="n">
        <v>46276</v>
      </c>
      <c r="B176" s="9" t="inlineStr">
        <is>
          <t>1405/06/20</t>
        </is>
      </c>
      <c r="C176" s="9" t="inlineStr">
        <is>
          <t>شهریور</t>
        </is>
      </c>
      <c r="D176" s="9" t="n">
        <v>20</v>
      </c>
      <c r="E176" s="9" t="inlineStr">
        <is>
          <t>تابستان</t>
        </is>
      </c>
      <c r="F176" s="9" t="inlineStr"/>
      <c r="G176" s="9">
        <f>COUNTIF('کارهای 1405'!$G:$G,A176)</f>
        <v/>
      </c>
      <c r="H176" s="9">
        <f>COUNTIFS('کارهای 1405'!$G:$G,A176,'کارهای 1405'!$L:$L,"&lt;&gt;انجام شده",'کارهای 1405'!$L:$L,"&lt;&gt;لغو شده")</f>
        <v/>
      </c>
      <c r="I176" s="9" t="inlineStr"/>
    </row>
    <row r="177">
      <c r="A177" s="10" t="n">
        <v>46277</v>
      </c>
      <c r="B177" s="9" t="inlineStr">
        <is>
          <t>1405/06/21</t>
        </is>
      </c>
      <c r="C177" s="9" t="inlineStr">
        <is>
          <t>شهریور</t>
        </is>
      </c>
      <c r="D177" s="9" t="n">
        <v>21</v>
      </c>
      <c r="E177" s="9" t="inlineStr">
        <is>
          <t>تابستان</t>
        </is>
      </c>
      <c r="F177" s="9" t="inlineStr"/>
      <c r="G177" s="9">
        <f>COUNTIF('کارهای 1405'!$G:$G,A177)</f>
        <v/>
      </c>
      <c r="H177" s="9">
        <f>COUNTIFS('کارهای 1405'!$G:$G,A177,'کارهای 1405'!$L:$L,"&lt;&gt;انجام شده",'کارهای 1405'!$L:$L,"&lt;&gt;لغو شده")</f>
        <v/>
      </c>
      <c r="I177" s="9" t="inlineStr"/>
    </row>
    <row r="178">
      <c r="A178" s="10" t="n">
        <v>46278</v>
      </c>
      <c r="B178" s="9" t="inlineStr">
        <is>
          <t>1405/06/22</t>
        </is>
      </c>
      <c r="C178" s="9" t="inlineStr">
        <is>
          <t>شهریور</t>
        </is>
      </c>
      <c r="D178" s="9" t="n">
        <v>22</v>
      </c>
      <c r="E178" s="9" t="inlineStr">
        <is>
          <t>تابستان</t>
        </is>
      </c>
      <c r="F178" s="9" t="inlineStr"/>
      <c r="G178" s="9">
        <f>COUNTIF('کارهای 1405'!$G:$G,A178)</f>
        <v/>
      </c>
      <c r="H178" s="9">
        <f>COUNTIFS('کارهای 1405'!$G:$G,A178,'کارهای 1405'!$L:$L,"&lt;&gt;انجام شده",'کارهای 1405'!$L:$L,"&lt;&gt;لغو شده")</f>
        <v/>
      </c>
      <c r="I178" s="9" t="inlineStr"/>
    </row>
    <row r="179">
      <c r="A179" s="10" t="n">
        <v>46279</v>
      </c>
      <c r="B179" s="9" t="inlineStr">
        <is>
          <t>1405/06/23</t>
        </is>
      </c>
      <c r="C179" s="9" t="inlineStr">
        <is>
          <t>شهریور</t>
        </is>
      </c>
      <c r="D179" s="9" t="n">
        <v>23</v>
      </c>
      <c r="E179" s="9" t="inlineStr">
        <is>
          <t>تابستان</t>
        </is>
      </c>
      <c r="F179" s="9" t="inlineStr"/>
      <c r="G179" s="9">
        <f>COUNTIF('کارهای 1405'!$G:$G,A179)</f>
        <v/>
      </c>
      <c r="H179" s="9">
        <f>COUNTIFS('کارهای 1405'!$G:$G,A179,'کارهای 1405'!$L:$L,"&lt;&gt;انجام شده",'کارهای 1405'!$L:$L,"&lt;&gt;لغو شده")</f>
        <v/>
      </c>
      <c r="I179" s="9" t="inlineStr"/>
    </row>
    <row r="180">
      <c r="A180" s="10" t="n">
        <v>46280</v>
      </c>
      <c r="B180" s="9" t="inlineStr">
        <is>
          <t>1405/06/24</t>
        </is>
      </c>
      <c r="C180" s="9" t="inlineStr">
        <is>
          <t>شهریور</t>
        </is>
      </c>
      <c r="D180" s="9" t="n">
        <v>24</v>
      </c>
      <c r="E180" s="9" t="inlineStr">
        <is>
          <t>تابستان</t>
        </is>
      </c>
      <c r="F180" s="9" t="inlineStr"/>
      <c r="G180" s="9">
        <f>COUNTIF('کارهای 1405'!$G:$G,A180)</f>
        <v/>
      </c>
      <c r="H180" s="9">
        <f>COUNTIFS('کارهای 1405'!$G:$G,A180,'کارهای 1405'!$L:$L,"&lt;&gt;انجام شده",'کارهای 1405'!$L:$L,"&lt;&gt;لغو شده")</f>
        <v/>
      </c>
      <c r="I180" s="9" t="inlineStr"/>
    </row>
    <row r="181">
      <c r="A181" s="10" t="n">
        <v>46281</v>
      </c>
      <c r="B181" s="9" t="inlineStr">
        <is>
          <t>1405/06/25</t>
        </is>
      </c>
      <c r="C181" s="9" t="inlineStr">
        <is>
          <t>شهریور</t>
        </is>
      </c>
      <c r="D181" s="9" t="n">
        <v>25</v>
      </c>
      <c r="E181" s="9" t="inlineStr">
        <is>
          <t>تابستان</t>
        </is>
      </c>
      <c r="F181" s="9" t="inlineStr"/>
      <c r="G181" s="9">
        <f>COUNTIF('کارهای 1405'!$G:$G,A181)</f>
        <v/>
      </c>
      <c r="H181" s="9">
        <f>COUNTIFS('کارهای 1405'!$G:$G,A181,'کارهای 1405'!$L:$L,"&lt;&gt;انجام شده",'کارهای 1405'!$L:$L,"&lt;&gt;لغو شده")</f>
        <v/>
      </c>
      <c r="I181" s="9" t="inlineStr"/>
    </row>
    <row r="182">
      <c r="A182" s="10" t="n">
        <v>46282</v>
      </c>
      <c r="B182" s="9" t="inlineStr">
        <is>
          <t>1405/06/26</t>
        </is>
      </c>
      <c r="C182" s="9" t="inlineStr">
        <is>
          <t>شهریور</t>
        </is>
      </c>
      <c r="D182" s="9" t="n">
        <v>26</v>
      </c>
      <c r="E182" s="9" t="inlineStr">
        <is>
          <t>تابستان</t>
        </is>
      </c>
      <c r="F182" s="9" t="inlineStr"/>
      <c r="G182" s="9">
        <f>COUNTIF('کارهای 1405'!$G:$G,A182)</f>
        <v/>
      </c>
      <c r="H182" s="9">
        <f>COUNTIFS('کارهای 1405'!$G:$G,A182,'کارهای 1405'!$L:$L,"&lt;&gt;انجام شده",'کارهای 1405'!$L:$L,"&lt;&gt;لغو شده")</f>
        <v/>
      </c>
      <c r="I182" s="9" t="inlineStr"/>
    </row>
    <row r="183">
      <c r="A183" s="10" t="n">
        <v>46283</v>
      </c>
      <c r="B183" s="9" t="inlineStr">
        <is>
          <t>1405/06/27</t>
        </is>
      </c>
      <c r="C183" s="9" t="inlineStr">
        <is>
          <t>شهریور</t>
        </is>
      </c>
      <c r="D183" s="9" t="n">
        <v>27</v>
      </c>
      <c r="E183" s="9" t="inlineStr">
        <is>
          <t>تابستان</t>
        </is>
      </c>
      <c r="F183" s="9" t="inlineStr"/>
      <c r="G183" s="9">
        <f>COUNTIF('کارهای 1405'!$G:$G,A183)</f>
        <v/>
      </c>
      <c r="H183" s="9">
        <f>COUNTIFS('کارهای 1405'!$G:$G,A183,'کارهای 1405'!$L:$L,"&lt;&gt;انجام شده",'کارهای 1405'!$L:$L,"&lt;&gt;لغو شده")</f>
        <v/>
      </c>
      <c r="I183" s="9" t="inlineStr"/>
    </row>
    <row r="184">
      <c r="A184" s="10" t="n">
        <v>46284</v>
      </c>
      <c r="B184" s="9" t="inlineStr">
        <is>
          <t>1405/06/28</t>
        </is>
      </c>
      <c r="C184" s="9" t="inlineStr">
        <is>
          <t>شهریور</t>
        </is>
      </c>
      <c r="D184" s="9" t="n">
        <v>28</v>
      </c>
      <c r="E184" s="9" t="inlineStr">
        <is>
          <t>تابستان</t>
        </is>
      </c>
      <c r="F184" s="9" t="inlineStr"/>
      <c r="G184" s="9">
        <f>COUNTIF('کارهای 1405'!$G:$G,A184)</f>
        <v/>
      </c>
      <c r="H184" s="9">
        <f>COUNTIFS('کارهای 1405'!$G:$G,A184,'کارهای 1405'!$L:$L,"&lt;&gt;انجام شده",'کارهای 1405'!$L:$L,"&lt;&gt;لغو شده")</f>
        <v/>
      </c>
      <c r="I184" s="9" t="inlineStr"/>
    </row>
    <row r="185">
      <c r="A185" s="10" t="n">
        <v>46285</v>
      </c>
      <c r="B185" s="9" t="inlineStr">
        <is>
          <t>1405/06/29</t>
        </is>
      </c>
      <c r="C185" s="9" t="inlineStr">
        <is>
          <t>شهریور</t>
        </is>
      </c>
      <c r="D185" s="9" t="n">
        <v>29</v>
      </c>
      <c r="E185" s="9" t="inlineStr">
        <is>
          <t>تابستان</t>
        </is>
      </c>
      <c r="F185" s="9" t="inlineStr"/>
      <c r="G185" s="9">
        <f>COUNTIF('کارهای 1405'!$G:$G,A185)</f>
        <v/>
      </c>
      <c r="H185" s="9">
        <f>COUNTIFS('کارهای 1405'!$G:$G,A185,'کارهای 1405'!$L:$L,"&lt;&gt;انجام شده",'کارهای 1405'!$L:$L,"&lt;&gt;لغو شده")</f>
        <v/>
      </c>
      <c r="I185" s="9" t="inlineStr"/>
    </row>
    <row r="186">
      <c r="A186" s="10" t="n">
        <v>46286</v>
      </c>
      <c r="B186" s="9" t="inlineStr">
        <is>
          <t>1405/06/30</t>
        </is>
      </c>
      <c r="C186" s="9" t="inlineStr">
        <is>
          <t>شهریور</t>
        </is>
      </c>
      <c r="D186" s="9" t="n">
        <v>30</v>
      </c>
      <c r="E186" s="9" t="inlineStr">
        <is>
          <t>تابستان</t>
        </is>
      </c>
      <c r="F186" s="9" t="inlineStr"/>
      <c r="G186" s="9">
        <f>COUNTIF('کارهای 1405'!$G:$G,A186)</f>
        <v/>
      </c>
      <c r="H186" s="9">
        <f>COUNTIFS('کارهای 1405'!$G:$G,A186,'کارهای 1405'!$L:$L,"&lt;&gt;انجام شده",'کارهای 1405'!$L:$L,"&lt;&gt;لغو شده")</f>
        <v/>
      </c>
      <c r="I186" s="9" t="inlineStr"/>
    </row>
    <row r="187">
      <c r="A187" s="10" t="n">
        <v>46287</v>
      </c>
      <c r="B187" s="9" t="inlineStr">
        <is>
          <t>1405/06/31</t>
        </is>
      </c>
      <c r="C187" s="9" t="inlineStr">
        <is>
          <t>شهریور</t>
        </is>
      </c>
      <c r="D187" s="9" t="n">
        <v>31</v>
      </c>
      <c r="E187" s="9" t="inlineStr">
        <is>
          <t>تابستان</t>
        </is>
      </c>
      <c r="F187" s="9" t="inlineStr"/>
      <c r="G187" s="9">
        <f>COUNTIF('کارهای 1405'!$G:$G,A187)</f>
        <v/>
      </c>
      <c r="H187" s="9">
        <f>COUNTIFS('کارهای 1405'!$G:$G,A187,'کارهای 1405'!$L:$L,"&lt;&gt;انجام شده",'کارهای 1405'!$L:$L,"&lt;&gt;لغو شده")</f>
        <v/>
      </c>
      <c r="I187" s="9" t="inlineStr"/>
    </row>
    <row r="188">
      <c r="A188" s="10" t="n">
        <v>46288</v>
      </c>
      <c r="B188" s="9" t="inlineStr">
        <is>
          <t>1405/07/01</t>
        </is>
      </c>
      <c r="C188" s="9" t="inlineStr">
        <is>
          <t>مهر</t>
        </is>
      </c>
      <c r="D188" s="9" t="n">
        <v>1</v>
      </c>
      <c r="E188" s="9" t="inlineStr">
        <is>
          <t>پاییز</t>
        </is>
      </c>
      <c r="F188" s="9" t="inlineStr"/>
      <c r="G188" s="9">
        <f>COUNTIF('کارهای 1405'!$G:$G,A188)</f>
        <v/>
      </c>
      <c r="H188" s="9">
        <f>COUNTIFS('کارهای 1405'!$G:$G,A188,'کارهای 1405'!$L:$L,"&lt;&gt;انجام شده",'کارهای 1405'!$L:$L,"&lt;&gt;لغو شده")</f>
        <v/>
      </c>
      <c r="I188" s="9" t="inlineStr"/>
    </row>
    <row r="189">
      <c r="A189" s="10" t="n">
        <v>46289</v>
      </c>
      <c r="B189" s="9" t="inlineStr">
        <is>
          <t>1405/07/02</t>
        </is>
      </c>
      <c r="C189" s="9" t="inlineStr">
        <is>
          <t>مهر</t>
        </is>
      </c>
      <c r="D189" s="9" t="n">
        <v>2</v>
      </c>
      <c r="E189" s="9" t="inlineStr">
        <is>
          <t>پاییز</t>
        </is>
      </c>
      <c r="F189" s="9" t="inlineStr"/>
      <c r="G189" s="9">
        <f>COUNTIF('کارهای 1405'!$G:$G,A189)</f>
        <v/>
      </c>
      <c r="H189" s="9">
        <f>COUNTIFS('کارهای 1405'!$G:$G,A189,'کارهای 1405'!$L:$L,"&lt;&gt;انجام شده",'کارهای 1405'!$L:$L,"&lt;&gt;لغو شده")</f>
        <v/>
      </c>
      <c r="I189" s="9" t="inlineStr"/>
    </row>
    <row r="190">
      <c r="A190" s="10" t="n">
        <v>46290</v>
      </c>
      <c r="B190" s="9" t="inlineStr">
        <is>
          <t>1405/07/03</t>
        </is>
      </c>
      <c r="C190" s="9" t="inlineStr">
        <is>
          <t>مهر</t>
        </is>
      </c>
      <c r="D190" s="9" t="n">
        <v>3</v>
      </c>
      <c r="E190" s="9" t="inlineStr">
        <is>
          <t>پاییز</t>
        </is>
      </c>
      <c r="F190" s="9" t="inlineStr"/>
      <c r="G190" s="9">
        <f>COUNTIF('کارهای 1405'!$G:$G,A190)</f>
        <v/>
      </c>
      <c r="H190" s="9">
        <f>COUNTIFS('کارهای 1405'!$G:$G,A190,'کارهای 1405'!$L:$L,"&lt;&gt;انجام شده",'کارهای 1405'!$L:$L,"&lt;&gt;لغو شده")</f>
        <v/>
      </c>
      <c r="I190" s="9" t="inlineStr"/>
    </row>
    <row r="191">
      <c r="A191" s="10" t="n">
        <v>46291</v>
      </c>
      <c r="B191" s="9" t="inlineStr">
        <is>
          <t>1405/07/04</t>
        </is>
      </c>
      <c r="C191" s="9" t="inlineStr">
        <is>
          <t>مهر</t>
        </is>
      </c>
      <c r="D191" s="9" t="n">
        <v>4</v>
      </c>
      <c r="E191" s="9" t="inlineStr">
        <is>
          <t>پاییز</t>
        </is>
      </c>
      <c r="F191" s="9" t="inlineStr"/>
      <c r="G191" s="9">
        <f>COUNTIF('کارهای 1405'!$G:$G,A191)</f>
        <v/>
      </c>
      <c r="H191" s="9">
        <f>COUNTIFS('کارهای 1405'!$G:$G,A191,'کارهای 1405'!$L:$L,"&lt;&gt;انجام شده",'کارهای 1405'!$L:$L,"&lt;&gt;لغو شده")</f>
        <v/>
      </c>
      <c r="I191" s="9" t="inlineStr"/>
    </row>
    <row r="192">
      <c r="A192" s="10" t="n">
        <v>46292</v>
      </c>
      <c r="B192" s="9" t="inlineStr">
        <is>
          <t>1405/07/05</t>
        </is>
      </c>
      <c r="C192" s="9" t="inlineStr">
        <is>
          <t>مهر</t>
        </is>
      </c>
      <c r="D192" s="9" t="n">
        <v>5</v>
      </c>
      <c r="E192" s="9" t="inlineStr">
        <is>
          <t>پاییز</t>
        </is>
      </c>
      <c r="F192" s="9" t="inlineStr"/>
      <c r="G192" s="9">
        <f>COUNTIF('کارهای 1405'!$G:$G,A192)</f>
        <v/>
      </c>
      <c r="H192" s="9">
        <f>COUNTIFS('کارهای 1405'!$G:$G,A192,'کارهای 1405'!$L:$L,"&lt;&gt;انجام شده",'کارهای 1405'!$L:$L,"&lt;&gt;لغو شده")</f>
        <v/>
      </c>
      <c r="I192" s="9" t="inlineStr"/>
    </row>
    <row r="193">
      <c r="A193" s="10" t="n">
        <v>46293</v>
      </c>
      <c r="B193" s="9" t="inlineStr">
        <is>
          <t>1405/07/06</t>
        </is>
      </c>
      <c r="C193" s="9" t="inlineStr">
        <is>
          <t>مهر</t>
        </is>
      </c>
      <c r="D193" s="9" t="n">
        <v>6</v>
      </c>
      <c r="E193" s="9" t="inlineStr">
        <is>
          <t>پاییز</t>
        </is>
      </c>
      <c r="F193" s="9" t="inlineStr"/>
      <c r="G193" s="9">
        <f>COUNTIF('کارهای 1405'!$G:$G,A193)</f>
        <v/>
      </c>
      <c r="H193" s="9">
        <f>COUNTIFS('کارهای 1405'!$G:$G,A193,'کارهای 1405'!$L:$L,"&lt;&gt;انجام شده",'کارهای 1405'!$L:$L,"&lt;&gt;لغو شده")</f>
        <v/>
      </c>
      <c r="I193" s="9" t="inlineStr"/>
    </row>
    <row r="194">
      <c r="A194" s="10" t="n">
        <v>46294</v>
      </c>
      <c r="B194" s="9" t="inlineStr">
        <is>
          <t>1405/07/07</t>
        </is>
      </c>
      <c r="C194" s="9" t="inlineStr">
        <is>
          <t>مهر</t>
        </is>
      </c>
      <c r="D194" s="9" t="n">
        <v>7</v>
      </c>
      <c r="E194" s="9" t="inlineStr">
        <is>
          <t>پاییز</t>
        </is>
      </c>
      <c r="F194" s="9" t="inlineStr"/>
      <c r="G194" s="9">
        <f>COUNTIF('کارهای 1405'!$G:$G,A194)</f>
        <v/>
      </c>
      <c r="H194" s="9">
        <f>COUNTIFS('کارهای 1405'!$G:$G,A194,'کارهای 1405'!$L:$L,"&lt;&gt;انجام شده",'کارهای 1405'!$L:$L,"&lt;&gt;لغو شده")</f>
        <v/>
      </c>
      <c r="I194" s="9" t="inlineStr"/>
    </row>
    <row r="195">
      <c r="A195" s="10" t="n">
        <v>46295</v>
      </c>
      <c r="B195" s="9" t="inlineStr">
        <is>
          <t>1405/07/08</t>
        </is>
      </c>
      <c r="C195" s="9" t="inlineStr">
        <is>
          <t>مهر</t>
        </is>
      </c>
      <c r="D195" s="9" t="n">
        <v>8</v>
      </c>
      <c r="E195" s="9" t="inlineStr">
        <is>
          <t>پاییز</t>
        </is>
      </c>
      <c r="F195" s="9" t="inlineStr"/>
      <c r="G195" s="9">
        <f>COUNTIF('کارهای 1405'!$G:$G,A195)</f>
        <v/>
      </c>
      <c r="H195" s="9">
        <f>COUNTIFS('کارهای 1405'!$G:$G,A195,'کارهای 1405'!$L:$L,"&lt;&gt;انجام شده",'کارهای 1405'!$L:$L,"&lt;&gt;لغو شده")</f>
        <v/>
      </c>
      <c r="I195" s="9" t="inlineStr"/>
    </row>
    <row r="196">
      <c r="A196" s="10" t="n">
        <v>46296</v>
      </c>
      <c r="B196" s="9" t="inlineStr">
        <is>
          <t>1405/07/09</t>
        </is>
      </c>
      <c r="C196" s="9" t="inlineStr">
        <is>
          <t>مهر</t>
        </is>
      </c>
      <c r="D196" s="9" t="n">
        <v>9</v>
      </c>
      <c r="E196" s="9" t="inlineStr">
        <is>
          <t>پاییز</t>
        </is>
      </c>
      <c r="F196" s="9" t="inlineStr"/>
      <c r="G196" s="9">
        <f>COUNTIF('کارهای 1405'!$G:$G,A196)</f>
        <v/>
      </c>
      <c r="H196" s="9">
        <f>COUNTIFS('کارهای 1405'!$G:$G,A196,'کارهای 1405'!$L:$L,"&lt;&gt;انجام شده",'کارهای 1405'!$L:$L,"&lt;&gt;لغو شده")</f>
        <v/>
      </c>
      <c r="I196" s="9" t="inlineStr"/>
    </row>
    <row r="197">
      <c r="A197" s="10" t="n">
        <v>46297</v>
      </c>
      <c r="B197" s="9" t="inlineStr">
        <is>
          <t>1405/07/10</t>
        </is>
      </c>
      <c r="C197" s="9" t="inlineStr">
        <is>
          <t>مهر</t>
        </is>
      </c>
      <c r="D197" s="9" t="n">
        <v>10</v>
      </c>
      <c r="E197" s="9" t="inlineStr">
        <is>
          <t>پاییز</t>
        </is>
      </c>
      <c r="F197" s="9" t="inlineStr"/>
      <c r="G197" s="9">
        <f>COUNTIF('کارهای 1405'!$G:$G,A197)</f>
        <v/>
      </c>
      <c r="H197" s="9">
        <f>COUNTIFS('کارهای 1405'!$G:$G,A197,'کارهای 1405'!$L:$L,"&lt;&gt;انجام شده",'کارهای 1405'!$L:$L,"&lt;&gt;لغو شده")</f>
        <v/>
      </c>
      <c r="I197" s="9" t="inlineStr"/>
    </row>
    <row r="198">
      <c r="A198" s="10" t="n">
        <v>46298</v>
      </c>
      <c r="B198" s="9" t="inlineStr">
        <is>
          <t>1405/07/11</t>
        </is>
      </c>
      <c r="C198" s="9" t="inlineStr">
        <is>
          <t>مهر</t>
        </is>
      </c>
      <c r="D198" s="9" t="n">
        <v>11</v>
      </c>
      <c r="E198" s="9" t="inlineStr">
        <is>
          <t>پاییز</t>
        </is>
      </c>
      <c r="F198" s="9" t="inlineStr"/>
      <c r="G198" s="9">
        <f>COUNTIF('کارهای 1405'!$G:$G,A198)</f>
        <v/>
      </c>
      <c r="H198" s="9">
        <f>COUNTIFS('کارهای 1405'!$G:$G,A198,'کارهای 1405'!$L:$L,"&lt;&gt;انجام شده",'کارهای 1405'!$L:$L,"&lt;&gt;لغو شده")</f>
        <v/>
      </c>
      <c r="I198" s="9" t="inlineStr"/>
    </row>
    <row r="199">
      <c r="A199" s="10" t="n">
        <v>46299</v>
      </c>
      <c r="B199" s="9" t="inlineStr">
        <is>
          <t>1405/07/12</t>
        </is>
      </c>
      <c r="C199" s="9" t="inlineStr">
        <is>
          <t>مهر</t>
        </is>
      </c>
      <c r="D199" s="9" t="n">
        <v>12</v>
      </c>
      <c r="E199" s="9" t="inlineStr">
        <is>
          <t>پاییز</t>
        </is>
      </c>
      <c r="F199" s="9" t="inlineStr"/>
      <c r="G199" s="9">
        <f>COUNTIF('کارهای 1405'!$G:$G,A199)</f>
        <v/>
      </c>
      <c r="H199" s="9">
        <f>COUNTIFS('کارهای 1405'!$G:$G,A199,'کارهای 1405'!$L:$L,"&lt;&gt;انجام شده",'کارهای 1405'!$L:$L,"&lt;&gt;لغو شده")</f>
        <v/>
      </c>
      <c r="I199" s="9" t="inlineStr"/>
    </row>
    <row r="200">
      <c r="A200" s="10" t="n">
        <v>46300</v>
      </c>
      <c r="B200" s="9" t="inlineStr">
        <is>
          <t>1405/07/13</t>
        </is>
      </c>
      <c r="C200" s="9" t="inlineStr">
        <is>
          <t>مهر</t>
        </is>
      </c>
      <c r="D200" s="9" t="n">
        <v>13</v>
      </c>
      <c r="E200" s="9" t="inlineStr">
        <is>
          <t>پاییز</t>
        </is>
      </c>
      <c r="F200" s="9" t="inlineStr"/>
      <c r="G200" s="9">
        <f>COUNTIF('کارهای 1405'!$G:$G,A200)</f>
        <v/>
      </c>
      <c r="H200" s="9">
        <f>COUNTIFS('کارهای 1405'!$G:$G,A200,'کارهای 1405'!$L:$L,"&lt;&gt;انجام شده",'کارهای 1405'!$L:$L,"&lt;&gt;لغو شده")</f>
        <v/>
      </c>
      <c r="I200" s="9" t="inlineStr"/>
    </row>
    <row r="201">
      <c r="A201" s="10" t="n">
        <v>46301</v>
      </c>
      <c r="B201" s="9" t="inlineStr">
        <is>
          <t>1405/07/14</t>
        </is>
      </c>
      <c r="C201" s="9" t="inlineStr">
        <is>
          <t>مهر</t>
        </is>
      </c>
      <c r="D201" s="9" t="n">
        <v>14</v>
      </c>
      <c r="E201" s="9" t="inlineStr">
        <is>
          <t>پاییز</t>
        </is>
      </c>
      <c r="F201" s="9" t="inlineStr"/>
      <c r="G201" s="9">
        <f>COUNTIF('کارهای 1405'!$G:$G,A201)</f>
        <v/>
      </c>
      <c r="H201" s="9">
        <f>COUNTIFS('کارهای 1405'!$G:$G,A201,'کارهای 1405'!$L:$L,"&lt;&gt;انجام شده",'کارهای 1405'!$L:$L,"&lt;&gt;لغو شده")</f>
        <v/>
      </c>
      <c r="I201" s="9" t="inlineStr"/>
    </row>
    <row r="202">
      <c r="A202" s="10" t="n">
        <v>46302</v>
      </c>
      <c r="B202" s="9" t="inlineStr">
        <is>
          <t>1405/07/15</t>
        </is>
      </c>
      <c r="C202" s="9" t="inlineStr">
        <is>
          <t>مهر</t>
        </is>
      </c>
      <c r="D202" s="9" t="n">
        <v>15</v>
      </c>
      <c r="E202" s="9" t="inlineStr">
        <is>
          <t>پاییز</t>
        </is>
      </c>
      <c r="F202" s="9" t="inlineStr"/>
      <c r="G202" s="9">
        <f>COUNTIF('کارهای 1405'!$G:$G,A202)</f>
        <v/>
      </c>
      <c r="H202" s="9">
        <f>COUNTIFS('کارهای 1405'!$G:$G,A202,'کارهای 1405'!$L:$L,"&lt;&gt;انجام شده",'کارهای 1405'!$L:$L,"&lt;&gt;لغو شده")</f>
        <v/>
      </c>
      <c r="I202" s="9" t="inlineStr"/>
    </row>
    <row r="203">
      <c r="A203" s="10" t="n">
        <v>46303</v>
      </c>
      <c r="B203" s="9" t="inlineStr">
        <is>
          <t>1405/07/16</t>
        </is>
      </c>
      <c r="C203" s="9" t="inlineStr">
        <is>
          <t>مهر</t>
        </is>
      </c>
      <c r="D203" s="9" t="n">
        <v>16</v>
      </c>
      <c r="E203" s="9" t="inlineStr">
        <is>
          <t>پاییز</t>
        </is>
      </c>
      <c r="F203" s="9" t="inlineStr"/>
      <c r="G203" s="9">
        <f>COUNTIF('کارهای 1405'!$G:$G,A203)</f>
        <v/>
      </c>
      <c r="H203" s="9">
        <f>COUNTIFS('کارهای 1405'!$G:$G,A203,'کارهای 1405'!$L:$L,"&lt;&gt;انجام شده",'کارهای 1405'!$L:$L,"&lt;&gt;لغو شده")</f>
        <v/>
      </c>
      <c r="I203" s="9" t="inlineStr"/>
    </row>
    <row r="204">
      <c r="A204" s="10" t="n">
        <v>46304</v>
      </c>
      <c r="B204" s="9" t="inlineStr">
        <is>
          <t>1405/07/17</t>
        </is>
      </c>
      <c r="C204" s="9" t="inlineStr">
        <is>
          <t>مهر</t>
        </is>
      </c>
      <c r="D204" s="9" t="n">
        <v>17</v>
      </c>
      <c r="E204" s="9" t="inlineStr">
        <is>
          <t>پاییز</t>
        </is>
      </c>
      <c r="F204" s="9" t="inlineStr"/>
      <c r="G204" s="9">
        <f>COUNTIF('کارهای 1405'!$G:$G,A204)</f>
        <v/>
      </c>
      <c r="H204" s="9">
        <f>COUNTIFS('کارهای 1405'!$G:$G,A204,'کارهای 1405'!$L:$L,"&lt;&gt;انجام شده",'کارهای 1405'!$L:$L,"&lt;&gt;لغو شده")</f>
        <v/>
      </c>
      <c r="I204" s="9" t="inlineStr"/>
    </row>
    <row r="205">
      <c r="A205" s="10" t="n">
        <v>46305</v>
      </c>
      <c r="B205" s="9" t="inlineStr">
        <is>
          <t>1405/07/18</t>
        </is>
      </c>
      <c r="C205" s="9" t="inlineStr">
        <is>
          <t>مهر</t>
        </is>
      </c>
      <c r="D205" s="9" t="n">
        <v>18</v>
      </c>
      <c r="E205" s="9" t="inlineStr">
        <is>
          <t>پاییز</t>
        </is>
      </c>
      <c r="F205" s="9" t="inlineStr"/>
      <c r="G205" s="9">
        <f>COUNTIF('کارهای 1405'!$G:$G,A205)</f>
        <v/>
      </c>
      <c r="H205" s="9">
        <f>COUNTIFS('کارهای 1405'!$G:$G,A205,'کارهای 1405'!$L:$L,"&lt;&gt;انجام شده",'کارهای 1405'!$L:$L,"&lt;&gt;لغو شده")</f>
        <v/>
      </c>
      <c r="I205" s="9" t="inlineStr"/>
    </row>
    <row r="206">
      <c r="A206" s="10" t="n">
        <v>46306</v>
      </c>
      <c r="B206" s="9" t="inlineStr">
        <is>
          <t>1405/07/19</t>
        </is>
      </c>
      <c r="C206" s="9" t="inlineStr">
        <is>
          <t>مهر</t>
        </is>
      </c>
      <c r="D206" s="9" t="n">
        <v>19</v>
      </c>
      <c r="E206" s="9" t="inlineStr">
        <is>
          <t>پاییز</t>
        </is>
      </c>
      <c r="F206" s="9" t="inlineStr"/>
      <c r="G206" s="9">
        <f>COUNTIF('کارهای 1405'!$G:$G,A206)</f>
        <v/>
      </c>
      <c r="H206" s="9">
        <f>COUNTIFS('کارهای 1405'!$G:$G,A206,'کارهای 1405'!$L:$L,"&lt;&gt;انجام شده",'کارهای 1405'!$L:$L,"&lt;&gt;لغو شده")</f>
        <v/>
      </c>
      <c r="I206" s="9" t="inlineStr"/>
    </row>
    <row r="207">
      <c r="A207" s="10" t="n">
        <v>46307</v>
      </c>
      <c r="B207" s="9" t="inlineStr">
        <is>
          <t>1405/07/20</t>
        </is>
      </c>
      <c r="C207" s="9" t="inlineStr">
        <is>
          <t>مهر</t>
        </is>
      </c>
      <c r="D207" s="9" t="n">
        <v>20</v>
      </c>
      <c r="E207" s="9" t="inlineStr">
        <is>
          <t>پاییز</t>
        </is>
      </c>
      <c r="F207" s="9" t="inlineStr"/>
      <c r="G207" s="9">
        <f>COUNTIF('کارهای 1405'!$G:$G,A207)</f>
        <v/>
      </c>
      <c r="H207" s="9">
        <f>COUNTIFS('کارهای 1405'!$G:$G,A207,'کارهای 1405'!$L:$L,"&lt;&gt;انجام شده",'کارهای 1405'!$L:$L,"&lt;&gt;لغو شده")</f>
        <v/>
      </c>
      <c r="I207" s="9" t="inlineStr"/>
    </row>
    <row r="208">
      <c r="A208" s="10" t="n">
        <v>46308</v>
      </c>
      <c r="B208" s="9" t="inlineStr">
        <is>
          <t>1405/07/21</t>
        </is>
      </c>
      <c r="C208" s="9" t="inlineStr">
        <is>
          <t>مهر</t>
        </is>
      </c>
      <c r="D208" s="9" t="n">
        <v>21</v>
      </c>
      <c r="E208" s="9" t="inlineStr">
        <is>
          <t>پاییز</t>
        </is>
      </c>
      <c r="F208" s="9" t="inlineStr"/>
      <c r="G208" s="9">
        <f>COUNTIF('کارهای 1405'!$G:$G,A208)</f>
        <v/>
      </c>
      <c r="H208" s="9">
        <f>COUNTIFS('کارهای 1405'!$G:$G,A208,'کارهای 1405'!$L:$L,"&lt;&gt;انجام شده",'کارهای 1405'!$L:$L,"&lt;&gt;لغو شده")</f>
        <v/>
      </c>
      <c r="I208" s="9" t="inlineStr"/>
    </row>
    <row r="209">
      <c r="A209" s="10" t="n">
        <v>46309</v>
      </c>
      <c r="B209" s="9" t="inlineStr">
        <is>
          <t>1405/07/22</t>
        </is>
      </c>
      <c r="C209" s="9" t="inlineStr">
        <is>
          <t>مهر</t>
        </is>
      </c>
      <c r="D209" s="9" t="n">
        <v>22</v>
      </c>
      <c r="E209" s="9" t="inlineStr">
        <is>
          <t>پاییز</t>
        </is>
      </c>
      <c r="F209" s="9" t="inlineStr"/>
      <c r="G209" s="9">
        <f>COUNTIF('کارهای 1405'!$G:$G,A209)</f>
        <v/>
      </c>
      <c r="H209" s="9">
        <f>COUNTIFS('کارهای 1405'!$G:$G,A209,'کارهای 1405'!$L:$L,"&lt;&gt;انجام شده",'کارهای 1405'!$L:$L,"&lt;&gt;لغو شده")</f>
        <v/>
      </c>
      <c r="I209" s="9" t="inlineStr"/>
    </row>
    <row r="210">
      <c r="A210" s="10" t="n">
        <v>46310</v>
      </c>
      <c r="B210" s="9" t="inlineStr">
        <is>
          <t>1405/07/23</t>
        </is>
      </c>
      <c r="C210" s="9" t="inlineStr">
        <is>
          <t>مهر</t>
        </is>
      </c>
      <c r="D210" s="9" t="n">
        <v>23</v>
      </c>
      <c r="E210" s="9" t="inlineStr">
        <is>
          <t>پاییز</t>
        </is>
      </c>
      <c r="F210" s="9" t="inlineStr"/>
      <c r="G210" s="9">
        <f>COUNTIF('کارهای 1405'!$G:$G,A210)</f>
        <v/>
      </c>
      <c r="H210" s="9">
        <f>COUNTIFS('کارهای 1405'!$G:$G,A210,'کارهای 1405'!$L:$L,"&lt;&gt;انجام شده",'کارهای 1405'!$L:$L,"&lt;&gt;لغو شده")</f>
        <v/>
      </c>
      <c r="I210" s="9" t="inlineStr"/>
    </row>
    <row r="211">
      <c r="A211" s="10" t="n">
        <v>46311</v>
      </c>
      <c r="B211" s="9" t="inlineStr">
        <is>
          <t>1405/07/24</t>
        </is>
      </c>
      <c r="C211" s="9" t="inlineStr">
        <is>
          <t>مهر</t>
        </is>
      </c>
      <c r="D211" s="9" t="n">
        <v>24</v>
      </c>
      <c r="E211" s="9" t="inlineStr">
        <is>
          <t>پاییز</t>
        </is>
      </c>
      <c r="F211" s="9" t="inlineStr"/>
      <c r="G211" s="9">
        <f>COUNTIF('کارهای 1405'!$G:$G,A211)</f>
        <v/>
      </c>
      <c r="H211" s="9">
        <f>COUNTIFS('کارهای 1405'!$G:$G,A211,'کارهای 1405'!$L:$L,"&lt;&gt;انجام شده",'کارهای 1405'!$L:$L,"&lt;&gt;لغو شده")</f>
        <v/>
      </c>
      <c r="I211" s="9" t="inlineStr"/>
    </row>
    <row r="212">
      <c r="A212" s="10" t="n">
        <v>46312</v>
      </c>
      <c r="B212" s="9" t="inlineStr">
        <is>
          <t>1405/07/25</t>
        </is>
      </c>
      <c r="C212" s="9" t="inlineStr">
        <is>
          <t>مهر</t>
        </is>
      </c>
      <c r="D212" s="9" t="n">
        <v>25</v>
      </c>
      <c r="E212" s="9" t="inlineStr">
        <is>
          <t>پاییز</t>
        </is>
      </c>
      <c r="F212" s="9" t="inlineStr"/>
      <c r="G212" s="9">
        <f>COUNTIF('کارهای 1405'!$G:$G,A212)</f>
        <v/>
      </c>
      <c r="H212" s="9">
        <f>COUNTIFS('کارهای 1405'!$G:$G,A212,'کارهای 1405'!$L:$L,"&lt;&gt;انجام شده",'کارهای 1405'!$L:$L,"&lt;&gt;لغو شده")</f>
        <v/>
      </c>
      <c r="I212" s="9" t="inlineStr"/>
    </row>
    <row r="213">
      <c r="A213" s="10" t="n">
        <v>46313</v>
      </c>
      <c r="B213" s="9" t="inlineStr">
        <is>
          <t>1405/07/26</t>
        </is>
      </c>
      <c r="C213" s="9" t="inlineStr">
        <is>
          <t>مهر</t>
        </is>
      </c>
      <c r="D213" s="9" t="n">
        <v>26</v>
      </c>
      <c r="E213" s="9" t="inlineStr">
        <is>
          <t>پاییز</t>
        </is>
      </c>
      <c r="F213" s="9" t="inlineStr"/>
      <c r="G213" s="9">
        <f>COUNTIF('کارهای 1405'!$G:$G,A213)</f>
        <v/>
      </c>
      <c r="H213" s="9">
        <f>COUNTIFS('کارهای 1405'!$G:$G,A213,'کارهای 1405'!$L:$L,"&lt;&gt;انجام شده",'کارهای 1405'!$L:$L,"&lt;&gt;لغو شده")</f>
        <v/>
      </c>
      <c r="I213" s="9" t="inlineStr"/>
    </row>
    <row r="214">
      <c r="A214" s="10" t="n">
        <v>46314</v>
      </c>
      <c r="B214" s="9" t="inlineStr">
        <is>
          <t>1405/07/27</t>
        </is>
      </c>
      <c r="C214" s="9" t="inlineStr">
        <is>
          <t>مهر</t>
        </is>
      </c>
      <c r="D214" s="9" t="n">
        <v>27</v>
      </c>
      <c r="E214" s="9" t="inlineStr">
        <is>
          <t>پاییز</t>
        </is>
      </c>
      <c r="F214" s="9" t="inlineStr"/>
      <c r="G214" s="9">
        <f>COUNTIF('کارهای 1405'!$G:$G,A214)</f>
        <v/>
      </c>
      <c r="H214" s="9">
        <f>COUNTIFS('کارهای 1405'!$G:$G,A214,'کارهای 1405'!$L:$L,"&lt;&gt;انجام شده",'کارهای 1405'!$L:$L,"&lt;&gt;لغو شده")</f>
        <v/>
      </c>
      <c r="I214" s="9" t="inlineStr"/>
    </row>
    <row r="215">
      <c r="A215" s="10" t="n">
        <v>46315</v>
      </c>
      <c r="B215" s="9" t="inlineStr">
        <is>
          <t>1405/07/28</t>
        </is>
      </c>
      <c r="C215" s="9" t="inlineStr">
        <is>
          <t>مهر</t>
        </is>
      </c>
      <c r="D215" s="9" t="n">
        <v>28</v>
      </c>
      <c r="E215" s="9" t="inlineStr">
        <is>
          <t>پاییز</t>
        </is>
      </c>
      <c r="F215" s="9" t="inlineStr"/>
      <c r="G215" s="9">
        <f>COUNTIF('کارهای 1405'!$G:$G,A215)</f>
        <v/>
      </c>
      <c r="H215" s="9">
        <f>COUNTIFS('کارهای 1405'!$G:$G,A215,'کارهای 1405'!$L:$L,"&lt;&gt;انجام شده",'کارهای 1405'!$L:$L,"&lt;&gt;لغو شده")</f>
        <v/>
      </c>
      <c r="I215" s="9" t="inlineStr"/>
    </row>
    <row r="216">
      <c r="A216" s="10" t="n">
        <v>46316</v>
      </c>
      <c r="B216" s="9" t="inlineStr">
        <is>
          <t>1405/07/29</t>
        </is>
      </c>
      <c r="C216" s="9" t="inlineStr">
        <is>
          <t>مهر</t>
        </is>
      </c>
      <c r="D216" s="9" t="n">
        <v>29</v>
      </c>
      <c r="E216" s="9" t="inlineStr">
        <is>
          <t>پاییز</t>
        </is>
      </c>
      <c r="F216" s="9" t="inlineStr"/>
      <c r="G216" s="9">
        <f>COUNTIF('کارهای 1405'!$G:$G,A216)</f>
        <v/>
      </c>
      <c r="H216" s="9">
        <f>COUNTIFS('کارهای 1405'!$G:$G,A216,'کارهای 1405'!$L:$L,"&lt;&gt;انجام شده",'کارهای 1405'!$L:$L,"&lt;&gt;لغو شده")</f>
        <v/>
      </c>
      <c r="I216" s="9" t="inlineStr"/>
    </row>
    <row r="217">
      <c r="A217" s="10" t="n">
        <v>46317</v>
      </c>
      <c r="B217" s="9" t="inlineStr">
        <is>
          <t>1405/07/30</t>
        </is>
      </c>
      <c r="C217" s="9" t="inlineStr">
        <is>
          <t>مهر</t>
        </is>
      </c>
      <c r="D217" s="9" t="n">
        <v>30</v>
      </c>
      <c r="E217" s="9" t="inlineStr">
        <is>
          <t>پاییز</t>
        </is>
      </c>
      <c r="F217" s="9" t="inlineStr"/>
      <c r="G217" s="9">
        <f>COUNTIF('کارهای 1405'!$G:$G,A217)</f>
        <v/>
      </c>
      <c r="H217" s="9">
        <f>COUNTIFS('کارهای 1405'!$G:$G,A217,'کارهای 1405'!$L:$L,"&lt;&gt;انجام شده",'کارهای 1405'!$L:$L,"&lt;&gt;لغو شده")</f>
        <v/>
      </c>
      <c r="I217" s="9" t="inlineStr"/>
    </row>
    <row r="218">
      <c r="A218" s="10" t="n">
        <v>46318</v>
      </c>
      <c r="B218" s="9" t="inlineStr">
        <is>
          <t>1405/08/01</t>
        </is>
      </c>
      <c r="C218" s="9" t="inlineStr">
        <is>
          <t>آبان</t>
        </is>
      </c>
      <c r="D218" s="9" t="n">
        <v>1</v>
      </c>
      <c r="E218" s="9" t="inlineStr">
        <is>
          <t>پاییز</t>
        </is>
      </c>
      <c r="F218" s="9" t="inlineStr"/>
      <c r="G218" s="9">
        <f>COUNTIF('کارهای 1405'!$G:$G,A218)</f>
        <v/>
      </c>
      <c r="H218" s="9">
        <f>COUNTIFS('کارهای 1405'!$G:$G,A218,'کارهای 1405'!$L:$L,"&lt;&gt;انجام شده",'کارهای 1405'!$L:$L,"&lt;&gt;لغو شده")</f>
        <v/>
      </c>
      <c r="I218" s="9" t="inlineStr"/>
    </row>
    <row r="219">
      <c r="A219" s="10" t="n">
        <v>46319</v>
      </c>
      <c r="B219" s="9" t="inlineStr">
        <is>
          <t>1405/08/02</t>
        </is>
      </c>
      <c r="C219" s="9" t="inlineStr">
        <is>
          <t>آبان</t>
        </is>
      </c>
      <c r="D219" s="9" t="n">
        <v>2</v>
      </c>
      <c r="E219" s="9" t="inlineStr">
        <is>
          <t>پاییز</t>
        </is>
      </c>
      <c r="F219" s="9" t="inlineStr"/>
      <c r="G219" s="9">
        <f>COUNTIF('کارهای 1405'!$G:$G,A219)</f>
        <v/>
      </c>
      <c r="H219" s="9">
        <f>COUNTIFS('کارهای 1405'!$G:$G,A219,'کارهای 1405'!$L:$L,"&lt;&gt;انجام شده",'کارهای 1405'!$L:$L,"&lt;&gt;لغو شده")</f>
        <v/>
      </c>
      <c r="I219" s="9" t="inlineStr"/>
    </row>
    <row r="220">
      <c r="A220" s="10" t="n">
        <v>46320</v>
      </c>
      <c r="B220" s="9" t="inlineStr">
        <is>
          <t>1405/08/03</t>
        </is>
      </c>
      <c r="C220" s="9" t="inlineStr">
        <is>
          <t>آبان</t>
        </is>
      </c>
      <c r="D220" s="9" t="n">
        <v>3</v>
      </c>
      <c r="E220" s="9" t="inlineStr">
        <is>
          <t>پاییز</t>
        </is>
      </c>
      <c r="F220" s="9" t="inlineStr"/>
      <c r="G220" s="9">
        <f>COUNTIF('کارهای 1405'!$G:$G,A220)</f>
        <v/>
      </c>
      <c r="H220" s="9">
        <f>COUNTIFS('کارهای 1405'!$G:$G,A220,'کارهای 1405'!$L:$L,"&lt;&gt;انجام شده",'کارهای 1405'!$L:$L,"&lt;&gt;لغو شده")</f>
        <v/>
      </c>
      <c r="I220" s="9" t="inlineStr"/>
    </row>
    <row r="221">
      <c r="A221" s="10" t="n">
        <v>46321</v>
      </c>
      <c r="B221" s="9" t="inlineStr">
        <is>
          <t>1405/08/04</t>
        </is>
      </c>
      <c r="C221" s="9" t="inlineStr">
        <is>
          <t>آبان</t>
        </is>
      </c>
      <c r="D221" s="9" t="n">
        <v>4</v>
      </c>
      <c r="E221" s="9" t="inlineStr">
        <is>
          <t>پاییز</t>
        </is>
      </c>
      <c r="F221" s="9" t="inlineStr"/>
      <c r="G221" s="9">
        <f>COUNTIF('کارهای 1405'!$G:$G,A221)</f>
        <v/>
      </c>
      <c r="H221" s="9">
        <f>COUNTIFS('کارهای 1405'!$G:$G,A221,'کارهای 1405'!$L:$L,"&lt;&gt;انجام شده",'کارهای 1405'!$L:$L,"&lt;&gt;لغو شده")</f>
        <v/>
      </c>
      <c r="I221" s="9" t="inlineStr"/>
    </row>
    <row r="222">
      <c r="A222" s="10" t="n">
        <v>46322</v>
      </c>
      <c r="B222" s="9" t="inlineStr">
        <is>
          <t>1405/08/05</t>
        </is>
      </c>
      <c r="C222" s="9" t="inlineStr">
        <is>
          <t>آبان</t>
        </is>
      </c>
      <c r="D222" s="9" t="n">
        <v>5</v>
      </c>
      <c r="E222" s="9" t="inlineStr">
        <is>
          <t>پاییز</t>
        </is>
      </c>
      <c r="F222" s="9" t="inlineStr"/>
      <c r="G222" s="9">
        <f>COUNTIF('کارهای 1405'!$G:$G,A222)</f>
        <v/>
      </c>
      <c r="H222" s="9">
        <f>COUNTIFS('کارهای 1405'!$G:$G,A222,'کارهای 1405'!$L:$L,"&lt;&gt;انجام شده",'کارهای 1405'!$L:$L,"&lt;&gt;لغو شده")</f>
        <v/>
      </c>
      <c r="I222" s="9" t="inlineStr"/>
    </row>
    <row r="223">
      <c r="A223" s="10" t="n">
        <v>46323</v>
      </c>
      <c r="B223" s="9" t="inlineStr">
        <is>
          <t>1405/08/06</t>
        </is>
      </c>
      <c r="C223" s="9" t="inlineStr">
        <is>
          <t>آبان</t>
        </is>
      </c>
      <c r="D223" s="9" t="n">
        <v>6</v>
      </c>
      <c r="E223" s="9" t="inlineStr">
        <is>
          <t>پاییز</t>
        </is>
      </c>
      <c r="F223" s="9" t="inlineStr"/>
      <c r="G223" s="9">
        <f>COUNTIF('کارهای 1405'!$G:$G,A223)</f>
        <v/>
      </c>
      <c r="H223" s="9">
        <f>COUNTIFS('کارهای 1405'!$G:$G,A223,'کارهای 1405'!$L:$L,"&lt;&gt;انجام شده",'کارهای 1405'!$L:$L,"&lt;&gt;لغو شده")</f>
        <v/>
      </c>
      <c r="I223" s="9" t="inlineStr"/>
    </row>
    <row r="224">
      <c r="A224" s="10" t="n">
        <v>46324</v>
      </c>
      <c r="B224" s="9" t="inlineStr">
        <is>
          <t>1405/08/07</t>
        </is>
      </c>
      <c r="C224" s="9" t="inlineStr">
        <is>
          <t>آبان</t>
        </is>
      </c>
      <c r="D224" s="9" t="n">
        <v>7</v>
      </c>
      <c r="E224" s="9" t="inlineStr">
        <is>
          <t>پاییز</t>
        </is>
      </c>
      <c r="F224" s="9" t="inlineStr"/>
      <c r="G224" s="9">
        <f>COUNTIF('کارهای 1405'!$G:$G,A224)</f>
        <v/>
      </c>
      <c r="H224" s="9">
        <f>COUNTIFS('کارهای 1405'!$G:$G,A224,'کارهای 1405'!$L:$L,"&lt;&gt;انجام شده",'کارهای 1405'!$L:$L,"&lt;&gt;لغو شده")</f>
        <v/>
      </c>
      <c r="I224" s="9" t="inlineStr"/>
    </row>
    <row r="225">
      <c r="A225" s="10" t="n">
        <v>46325</v>
      </c>
      <c r="B225" s="9" t="inlineStr">
        <is>
          <t>1405/08/08</t>
        </is>
      </c>
      <c r="C225" s="9" t="inlineStr">
        <is>
          <t>آبان</t>
        </is>
      </c>
      <c r="D225" s="9" t="n">
        <v>8</v>
      </c>
      <c r="E225" s="9" t="inlineStr">
        <is>
          <t>پاییز</t>
        </is>
      </c>
      <c r="F225" s="9" t="inlineStr"/>
      <c r="G225" s="9">
        <f>COUNTIF('کارهای 1405'!$G:$G,A225)</f>
        <v/>
      </c>
      <c r="H225" s="9">
        <f>COUNTIFS('کارهای 1405'!$G:$G,A225,'کارهای 1405'!$L:$L,"&lt;&gt;انجام شده",'کارهای 1405'!$L:$L,"&lt;&gt;لغو شده")</f>
        <v/>
      </c>
      <c r="I225" s="9" t="inlineStr"/>
    </row>
    <row r="226">
      <c r="A226" s="10" t="n">
        <v>46326</v>
      </c>
      <c r="B226" s="9" t="inlineStr">
        <is>
          <t>1405/08/09</t>
        </is>
      </c>
      <c r="C226" s="9" t="inlineStr">
        <is>
          <t>آبان</t>
        </is>
      </c>
      <c r="D226" s="9" t="n">
        <v>9</v>
      </c>
      <c r="E226" s="9" t="inlineStr">
        <is>
          <t>پاییز</t>
        </is>
      </c>
      <c r="F226" s="9" t="inlineStr"/>
      <c r="G226" s="9">
        <f>COUNTIF('کارهای 1405'!$G:$G,A226)</f>
        <v/>
      </c>
      <c r="H226" s="9">
        <f>COUNTIFS('کارهای 1405'!$G:$G,A226,'کارهای 1405'!$L:$L,"&lt;&gt;انجام شده",'کارهای 1405'!$L:$L,"&lt;&gt;لغو شده")</f>
        <v/>
      </c>
      <c r="I226" s="9" t="inlineStr"/>
    </row>
    <row r="227">
      <c r="A227" s="10" t="n">
        <v>46327</v>
      </c>
      <c r="B227" s="9" t="inlineStr">
        <is>
          <t>1405/08/10</t>
        </is>
      </c>
      <c r="C227" s="9" t="inlineStr">
        <is>
          <t>آبان</t>
        </is>
      </c>
      <c r="D227" s="9" t="n">
        <v>10</v>
      </c>
      <c r="E227" s="9" t="inlineStr">
        <is>
          <t>پاییز</t>
        </is>
      </c>
      <c r="F227" s="9" t="inlineStr"/>
      <c r="G227" s="9">
        <f>COUNTIF('کارهای 1405'!$G:$G,A227)</f>
        <v/>
      </c>
      <c r="H227" s="9">
        <f>COUNTIFS('کارهای 1405'!$G:$G,A227,'کارهای 1405'!$L:$L,"&lt;&gt;انجام شده",'کارهای 1405'!$L:$L,"&lt;&gt;لغو شده")</f>
        <v/>
      </c>
      <c r="I227" s="9" t="inlineStr"/>
    </row>
    <row r="228">
      <c r="A228" s="10" t="n">
        <v>46328</v>
      </c>
      <c r="B228" s="9" t="inlineStr">
        <is>
          <t>1405/08/11</t>
        </is>
      </c>
      <c r="C228" s="9" t="inlineStr">
        <is>
          <t>آبان</t>
        </is>
      </c>
      <c r="D228" s="9" t="n">
        <v>11</v>
      </c>
      <c r="E228" s="9" t="inlineStr">
        <is>
          <t>پاییز</t>
        </is>
      </c>
      <c r="F228" s="9" t="inlineStr"/>
      <c r="G228" s="9">
        <f>COUNTIF('کارهای 1405'!$G:$G,A228)</f>
        <v/>
      </c>
      <c r="H228" s="9">
        <f>COUNTIFS('کارهای 1405'!$G:$G,A228,'کارهای 1405'!$L:$L,"&lt;&gt;انجام شده",'کارهای 1405'!$L:$L,"&lt;&gt;لغو شده")</f>
        <v/>
      </c>
      <c r="I228" s="9" t="inlineStr"/>
    </row>
    <row r="229">
      <c r="A229" s="10" t="n">
        <v>46329</v>
      </c>
      <c r="B229" s="9" t="inlineStr">
        <is>
          <t>1405/08/12</t>
        </is>
      </c>
      <c r="C229" s="9" t="inlineStr">
        <is>
          <t>آبان</t>
        </is>
      </c>
      <c r="D229" s="9" t="n">
        <v>12</v>
      </c>
      <c r="E229" s="9" t="inlineStr">
        <is>
          <t>پاییز</t>
        </is>
      </c>
      <c r="F229" s="9" t="inlineStr"/>
      <c r="G229" s="9">
        <f>COUNTIF('کارهای 1405'!$G:$G,A229)</f>
        <v/>
      </c>
      <c r="H229" s="9">
        <f>COUNTIFS('کارهای 1405'!$G:$G,A229,'کارهای 1405'!$L:$L,"&lt;&gt;انجام شده",'کارهای 1405'!$L:$L,"&lt;&gt;لغو شده")</f>
        <v/>
      </c>
      <c r="I229" s="9" t="inlineStr"/>
    </row>
    <row r="230">
      <c r="A230" s="10" t="n">
        <v>46330</v>
      </c>
      <c r="B230" s="9" t="inlineStr">
        <is>
          <t>1405/08/13</t>
        </is>
      </c>
      <c r="C230" s="9" t="inlineStr">
        <is>
          <t>آبان</t>
        </is>
      </c>
      <c r="D230" s="9" t="n">
        <v>13</v>
      </c>
      <c r="E230" s="9" t="inlineStr">
        <is>
          <t>پاییز</t>
        </is>
      </c>
      <c r="F230" s="9" t="inlineStr"/>
      <c r="G230" s="9">
        <f>COUNTIF('کارهای 1405'!$G:$G,A230)</f>
        <v/>
      </c>
      <c r="H230" s="9">
        <f>COUNTIFS('کارهای 1405'!$G:$G,A230,'کارهای 1405'!$L:$L,"&lt;&gt;انجام شده",'کارهای 1405'!$L:$L,"&lt;&gt;لغو شده")</f>
        <v/>
      </c>
      <c r="I230" s="9" t="inlineStr"/>
    </row>
    <row r="231">
      <c r="A231" s="10" t="n">
        <v>46331</v>
      </c>
      <c r="B231" s="9" t="inlineStr">
        <is>
          <t>1405/08/14</t>
        </is>
      </c>
      <c r="C231" s="9" t="inlineStr">
        <is>
          <t>آبان</t>
        </is>
      </c>
      <c r="D231" s="9" t="n">
        <v>14</v>
      </c>
      <c r="E231" s="9" t="inlineStr">
        <is>
          <t>پاییز</t>
        </is>
      </c>
      <c r="F231" s="9" t="inlineStr"/>
      <c r="G231" s="9">
        <f>COUNTIF('کارهای 1405'!$G:$G,A231)</f>
        <v/>
      </c>
      <c r="H231" s="9">
        <f>COUNTIFS('کارهای 1405'!$G:$G,A231,'کارهای 1405'!$L:$L,"&lt;&gt;انجام شده",'کارهای 1405'!$L:$L,"&lt;&gt;لغو شده")</f>
        <v/>
      </c>
      <c r="I231" s="9" t="inlineStr"/>
    </row>
    <row r="232">
      <c r="A232" s="10" t="n">
        <v>46332</v>
      </c>
      <c r="B232" s="9" t="inlineStr">
        <is>
          <t>1405/08/15</t>
        </is>
      </c>
      <c r="C232" s="9" t="inlineStr">
        <is>
          <t>آبان</t>
        </is>
      </c>
      <c r="D232" s="9" t="n">
        <v>15</v>
      </c>
      <c r="E232" s="9" t="inlineStr">
        <is>
          <t>پاییز</t>
        </is>
      </c>
      <c r="F232" s="9" t="inlineStr"/>
      <c r="G232" s="9">
        <f>COUNTIF('کارهای 1405'!$G:$G,A232)</f>
        <v/>
      </c>
      <c r="H232" s="9">
        <f>COUNTIFS('کارهای 1405'!$G:$G,A232,'کارهای 1405'!$L:$L,"&lt;&gt;انجام شده",'کارهای 1405'!$L:$L,"&lt;&gt;لغو شده")</f>
        <v/>
      </c>
      <c r="I232" s="9" t="inlineStr"/>
    </row>
    <row r="233">
      <c r="A233" s="10" t="n">
        <v>46333</v>
      </c>
      <c r="B233" s="9" t="inlineStr">
        <is>
          <t>1405/08/16</t>
        </is>
      </c>
      <c r="C233" s="9" t="inlineStr">
        <is>
          <t>آبان</t>
        </is>
      </c>
      <c r="D233" s="9" t="n">
        <v>16</v>
      </c>
      <c r="E233" s="9" t="inlineStr">
        <is>
          <t>پاییز</t>
        </is>
      </c>
      <c r="F233" s="9" t="inlineStr"/>
      <c r="G233" s="9">
        <f>COUNTIF('کارهای 1405'!$G:$G,A233)</f>
        <v/>
      </c>
      <c r="H233" s="9">
        <f>COUNTIFS('کارهای 1405'!$G:$G,A233,'کارهای 1405'!$L:$L,"&lt;&gt;انجام شده",'کارهای 1405'!$L:$L,"&lt;&gt;لغو شده")</f>
        <v/>
      </c>
      <c r="I233" s="9" t="inlineStr"/>
    </row>
    <row r="234">
      <c r="A234" s="10" t="n">
        <v>46334</v>
      </c>
      <c r="B234" s="9" t="inlineStr">
        <is>
          <t>1405/08/17</t>
        </is>
      </c>
      <c r="C234" s="9" t="inlineStr">
        <is>
          <t>آبان</t>
        </is>
      </c>
      <c r="D234" s="9" t="n">
        <v>17</v>
      </c>
      <c r="E234" s="9" t="inlineStr">
        <is>
          <t>پاییز</t>
        </is>
      </c>
      <c r="F234" s="9" t="inlineStr"/>
      <c r="G234" s="9">
        <f>COUNTIF('کارهای 1405'!$G:$G,A234)</f>
        <v/>
      </c>
      <c r="H234" s="9">
        <f>COUNTIFS('کارهای 1405'!$G:$G,A234,'کارهای 1405'!$L:$L,"&lt;&gt;انجام شده",'کارهای 1405'!$L:$L,"&lt;&gt;لغو شده")</f>
        <v/>
      </c>
      <c r="I234" s="9" t="inlineStr"/>
    </row>
    <row r="235">
      <c r="A235" s="10" t="n">
        <v>46335</v>
      </c>
      <c r="B235" s="9" t="inlineStr">
        <is>
          <t>1405/08/18</t>
        </is>
      </c>
      <c r="C235" s="9" t="inlineStr">
        <is>
          <t>آبان</t>
        </is>
      </c>
      <c r="D235" s="9" t="n">
        <v>18</v>
      </c>
      <c r="E235" s="9" t="inlineStr">
        <is>
          <t>پاییز</t>
        </is>
      </c>
      <c r="F235" s="9" t="inlineStr"/>
      <c r="G235" s="9">
        <f>COUNTIF('کارهای 1405'!$G:$G,A235)</f>
        <v/>
      </c>
      <c r="H235" s="9">
        <f>COUNTIFS('کارهای 1405'!$G:$G,A235,'کارهای 1405'!$L:$L,"&lt;&gt;انجام شده",'کارهای 1405'!$L:$L,"&lt;&gt;لغو شده")</f>
        <v/>
      </c>
      <c r="I235" s="9" t="inlineStr"/>
    </row>
    <row r="236">
      <c r="A236" s="10" t="n">
        <v>46336</v>
      </c>
      <c r="B236" s="9" t="inlineStr">
        <is>
          <t>1405/08/19</t>
        </is>
      </c>
      <c r="C236" s="9" t="inlineStr">
        <is>
          <t>آبان</t>
        </is>
      </c>
      <c r="D236" s="9" t="n">
        <v>19</v>
      </c>
      <c r="E236" s="9" t="inlineStr">
        <is>
          <t>پاییز</t>
        </is>
      </c>
      <c r="F236" s="9" t="inlineStr"/>
      <c r="G236" s="9">
        <f>COUNTIF('کارهای 1405'!$G:$G,A236)</f>
        <v/>
      </c>
      <c r="H236" s="9">
        <f>COUNTIFS('کارهای 1405'!$G:$G,A236,'کارهای 1405'!$L:$L,"&lt;&gt;انجام شده",'کارهای 1405'!$L:$L,"&lt;&gt;لغو شده")</f>
        <v/>
      </c>
      <c r="I236" s="9" t="inlineStr"/>
    </row>
    <row r="237">
      <c r="A237" s="10" t="n">
        <v>46337</v>
      </c>
      <c r="B237" s="9" t="inlineStr">
        <is>
          <t>1405/08/20</t>
        </is>
      </c>
      <c r="C237" s="9" t="inlineStr">
        <is>
          <t>آبان</t>
        </is>
      </c>
      <c r="D237" s="9" t="n">
        <v>20</v>
      </c>
      <c r="E237" s="9" t="inlineStr">
        <is>
          <t>پاییز</t>
        </is>
      </c>
      <c r="F237" s="9" t="inlineStr"/>
      <c r="G237" s="9">
        <f>COUNTIF('کارهای 1405'!$G:$G,A237)</f>
        <v/>
      </c>
      <c r="H237" s="9">
        <f>COUNTIFS('کارهای 1405'!$G:$G,A237,'کارهای 1405'!$L:$L,"&lt;&gt;انجام شده",'کارهای 1405'!$L:$L,"&lt;&gt;لغو شده")</f>
        <v/>
      </c>
      <c r="I237" s="9" t="inlineStr"/>
    </row>
    <row r="238">
      <c r="A238" s="10" t="n">
        <v>46338</v>
      </c>
      <c r="B238" s="9" t="inlineStr">
        <is>
          <t>1405/08/21</t>
        </is>
      </c>
      <c r="C238" s="9" t="inlineStr">
        <is>
          <t>آبان</t>
        </is>
      </c>
      <c r="D238" s="9" t="n">
        <v>21</v>
      </c>
      <c r="E238" s="9" t="inlineStr">
        <is>
          <t>پاییز</t>
        </is>
      </c>
      <c r="F238" s="9" t="inlineStr"/>
      <c r="G238" s="9">
        <f>COUNTIF('کارهای 1405'!$G:$G,A238)</f>
        <v/>
      </c>
      <c r="H238" s="9">
        <f>COUNTIFS('کارهای 1405'!$G:$G,A238,'کارهای 1405'!$L:$L,"&lt;&gt;انجام شده",'کارهای 1405'!$L:$L,"&lt;&gt;لغو شده")</f>
        <v/>
      </c>
      <c r="I238" s="9" t="inlineStr"/>
    </row>
    <row r="239">
      <c r="A239" s="10" t="n">
        <v>46339</v>
      </c>
      <c r="B239" s="9" t="inlineStr">
        <is>
          <t>1405/08/22</t>
        </is>
      </c>
      <c r="C239" s="9" t="inlineStr">
        <is>
          <t>آبان</t>
        </is>
      </c>
      <c r="D239" s="9" t="n">
        <v>22</v>
      </c>
      <c r="E239" s="9" t="inlineStr">
        <is>
          <t>پاییز</t>
        </is>
      </c>
      <c r="F239" s="9" t="inlineStr"/>
      <c r="G239" s="9">
        <f>COUNTIF('کارهای 1405'!$G:$G,A239)</f>
        <v/>
      </c>
      <c r="H239" s="9">
        <f>COUNTIFS('کارهای 1405'!$G:$G,A239,'کارهای 1405'!$L:$L,"&lt;&gt;انجام شده",'کارهای 1405'!$L:$L,"&lt;&gt;لغو شده")</f>
        <v/>
      </c>
      <c r="I239" s="9" t="inlineStr"/>
    </row>
    <row r="240">
      <c r="A240" s="10" t="n">
        <v>46340</v>
      </c>
      <c r="B240" s="9" t="inlineStr">
        <is>
          <t>1405/08/23</t>
        </is>
      </c>
      <c r="C240" s="9" t="inlineStr">
        <is>
          <t>آبان</t>
        </is>
      </c>
      <c r="D240" s="9" t="n">
        <v>23</v>
      </c>
      <c r="E240" s="9" t="inlineStr">
        <is>
          <t>پاییز</t>
        </is>
      </c>
      <c r="F240" s="9" t="inlineStr"/>
      <c r="G240" s="9">
        <f>COUNTIF('کارهای 1405'!$G:$G,A240)</f>
        <v/>
      </c>
      <c r="H240" s="9">
        <f>COUNTIFS('کارهای 1405'!$G:$G,A240,'کارهای 1405'!$L:$L,"&lt;&gt;انجام شده",'کارهای 1405'!$L:$L,"&lt;&gt;لغو شده")</f>
        <v/>
      </c>
      <c r="I240" s="9" t="inlineStr"/>
    </row>
    <row r="241">
      <c r="A241" s="10" t="n">
        <v>46341</v>
      </c>
      <c r="B241" s="9" t="inlineStr">
        <is>
          <t>1405/08/24</t>
        </is>
      </c>
      <c r="C241" s="9" t="inlineStr">
        <is>
          <t>آبان</t>
        </is>
      </c>
      <c r="D241" s="9" t="n">
        <v>24</v>
      </c>
      <c r="E241" s="9" t="inlineStr">
        <is>
          <t>پاییز</t>
        </is>
      </c>
      <c r="F241" s="9" t="inlineStr"/>
      <c r="G241" s="9">
        <f>COUNTIF('کارهای 1405'!$G:$G,A241)</f>
        <v/>
      </c>
      <c r="H241" s="9">
        <f>COUNTIFS('کارهای 1405'!$G:$G,A241,'کارهای 1405'!$L:$L,"&lt;&gt;انجام شده",'کارهای 1405'!$L:$L,"&lt;&gt;لغو شده")</f>
        <v/>
      </c>
      <c r="I241" s="9" t="inlineStr"/>
    </row>
    <row r="242">
      <c r="A242" s="10" t="n">
        <v>46342</v>
      </c>
      <c r="B242" s="9" t="inlineStr">
        <is>
          <t>1405/08/25</t>
        </is>
      </c>
      <c r="C242" s="9" t="inlineStr">
        <is>
          <t>آبان</t>
        </is>
      </c>
      <c r="D242" s="9" t="n">
        <v>25</v>
      </c>
      <c r="E242" s="9" t="inlineStr">
        <is>
          <t>پاییز</t>
        </is>
      </c>
      <c r="F242" s="9" t="inlineStr"/>
      <c r="G242" s="9">
        <f>COUNTIF('کارهای 1405'!$G:$G,A242)</f>
        <v/>
      </c>
      <c r="H242" s="9">
        <f>COUNTIFS('کارهای 1405'!$G:$G,A242,'کارهای 1405'!$L:$L,"&lt;&gt;انجام شده",'کارهای 1405'!$L:$L,"&lt;&gt;لغو شده")</f>
        <v/>
      </c>
      <c r="I242" s="9" t="inlineStr"/>
    </row>
    <row r="243">
      <c r="A243" s="10" t="n">
        <v>46343</v>
      </c>
      <c r="B243" s="9" t="inlineStr">
        <is>
          <t>1405/08/26</t>
        </is>
      </c>
      <c r="C243" s="9" t="inlineStr">
        <is>
          <t>آبان</t>
        </is>
      </c>
      <c r="D243" s="9" t="n">
        <v>26</v>
      </c>
      <c r="E243" s="9" t="inlineStr">
        <is>
          <t>پاییز</t>
        </is>
      </c>
      <c r="F243" s="9" t="inlineStr"/>
      <c r="G243" s="9">
        <f>COUNTIF('کارهای 1405'!$G:$G,A243)</f>
        <v/>
      </c>
      <c r="H243" s="9">
        <f>COUNTIFS('کارهای 1405'!$G:$G,A243,'کارهای 1405'!$L:$L,"&lt;&gt;انجام شده",'کارهای 1405'!$L:$L,"&lt;&gt;لغو شده")</f>
        <v/>
      </c>
      <c r="I243" s="9" t="inlineStr"/>
    </row>
    <row r="244">
      <c r="A244" s="10" t="n">
        <v>46344</v>
      </c>
      <c r="B244" s="9" t="inlineStr">
        <is>
          <t>1405/08/27</t>
        </is>
      </c>
      <c r="C244" s="9" t="inlineStr">
        <is>
          <t>آبان</t>
        </is>
      </c>
      <c r="D244" s="9" t="n">
        <v>27</v>
      </c>
      <c r="E244" s="9" t="inlineStr">
        <is>
          <t>پاییز</t>
        </is>
      </c>
      <c r="F244" s="9" t="inlineStr"/>
      <c r="G244" s="9">
        <f>COUNTIF('کارهای 1405'!$G:$G,A244)</f>
        <v/>
      </c>
      <c r="H244" s="9">
        <f>COUNTIFS('کارهای 1405'!$G:$G,A244,'کارهای 1405'!$L:$L,"&lt;&gt;انجام شده",'کارهای 1405'!$L:$L,"&lt;&gt;لغو شده")</f>
        <v/>
      </c>
      <c r="I244" s="9" t="inlineStr"/>
    </row>
    <row r="245">
      <c r="A245" s="10" t="n">
        <v>46345</v>
      </c>
      <c r="B245" s="9" t="inlineStr">
        <is>
          <t>1405/08/28</t>
        </is>
      </c>
      <c r="C245" s="9" t="inlineStr">
        <is>
          <t>آبان</t>
        </is>
      </c>
      <c r="D245" s="9" t="n">
        <v>28</v>
      </c>
      <c r="E245" s="9" t="inlineStr">
        <is>
          <t>پاییز</t>
        </is>
      </c>
      <c r="F245" s="9" t="inlineStr"/>
      <c r="G245" s="9">
        <f>COUNTIF('کارهای 1405'!$G:$G,A245)</f>
        <v/>
      </c>
      <c r="H245" s="9">
        <f>COUNTIFS('کارهای 1405'!$G:$G,A245,'کارهای 1405'!$L:$L,"&lt;&gt;انجام شده",'کارهای 1405'!$L:$L,"&lt;&gt;لغو شده")</f>
        <v/>
      </c>
      <c r="I245" s="9" t="inlineStr"/>
    </row>
    <row r="246">
      <c r="A246" s="10" t="n">
        <v>46346</v>
      </c>
      <c r="B246" s="9" t="inlineStr">
        <is>
          <t>1405/08/29</t>
        </is>
      </c>
      <c r="C246" s="9" t="inlineStr">
        <is>
          <t>آبان</t>
        </is>
      </c>
      <c r="D246" s="9" t="n">
        <v>29</v>
      </c>
      <c r="E246" s="9" t="inlineStr">
        <is>
          <t>پاییز</t>
        </is>
      </c>
      <c r="F246" s="9" t="inlineStr"/>
      <c r="G246" s="9">
        <f>COUNTIF('کارهای 1405'!$G:$G,A246)</f>
        <v/>
      </c>
      <c r="H246" s="9">
        <f>COUNTIFS('کارهای 1405'!$G:$G,A246,'کارهای 1405'!$L:$L,"&lt;&gt;انجام شده",'کارهای 1405'!$L:$L,"&lt;&gt;لغو شده")</f>
        <v/>
      </c>
      <c r="I246" s="9" t="inlineStr"/>
    </row>
    <row r="247">
      <c r="A247" s="10" t="n">
        <v>46347</v>
      </c>
      <c r="B247" s="9" t="inlineStr">
        <is>
          <t>1405/08/30</t>
        </is>
      </c>
      <c r="C247" s="9" t="inlineStr">
        <is>
          <t>آبان</t>
        </is>
      </c>
      <c r="D247" s="9" t="n">
        <v>30</v>
      </c>
      <c r="E247" s="9" t="inlineStr">
        <is>
          <t>پاییز</t>
        </is>
      </c>
      <c r="F247" s="9" t="inlineStr"/>
      <c r="G247" s="9">
        <f>COUNTIF('کارهای 1405'!$G:$G,A247)</f>
        <v/>
      </c>
      <c r="H247" s="9">
        <f>COUNTIFS('کارهای 1405'!$G:$G,A247,'کارهای 1405'!$L:$L,"&lt;&gt;انجام شده",'کارهای 1405'!$L:$L,"&lt;&gt;لغو شده")</f>
        <v/>
      </c>
      <c r="I247" s="9" t="inlineStr"/>
    </row>
    <row r="248">
      <c r="A248" s="10" t="n">
        <v>46348</v>
      </c>
      <c r="B248" s="9" t="inlineStr">
        <is>
          <t>1405/09/01</t>
        </is>
      </c>
      <c r="C248" s="9" t="inlineStr">
        <is>
          <t>آذر</t>
        </is>
      </c>
      <c r="D248" s="9" t="n">
        <v>1</v>
      </c>
      <c r="E248" s="9" t="inlineStr">
        <is>
          <t>پاییز</t>
        </is>
      </c>
      <c r="F248" s="9" t="inlineStr"/>
      <c r="G248" s="9">
        <f>COUNTIF('کارهای 1405'!$G:$G,A248)</f>
        <v/>
      </c>
      <c r="H248" s="9">
        <f>COUNTIFS('کارهای 1405'!$G:$G,A248,'کارهای 1405'!$L:$L,"&lt;&gt;انجام شده",'کارهای 1405'!$L:$L,"&lt;&gt;لغو شده")</f>
        <v/>
      </c>
      <c r="I248" s="9" t="inlineStr"/>
    </row>
    <row r="249">
      <c r="A249" s="10" t="n">
        <v>46349</v>
      </c>
      <c r="B249" s="9" t="inlineStr">
        <is>
          <t>1405/09/02</t>
        </is>
      </c>
      <c r="C249" s="9" t="inlineStr">
        <is>
          <t>آذر</t>
        </is>
      </c>
      <c r="D249" s="9" t="n">
        <v>2</v>
      </c>
      <c r="E249" s="9" t="inlineStr">
        <is>
          <t>پاییز</t>
        </is>
      </c>
      <c r="F249" s="9" t="inlineStr"/>
      <c r="G249" s="9">
        <f>COUNTIF('کارهای 1405'!$G:$G,A249)</f>
        <v/>
      </c>
      <c r="H249" s="9">
        <f>COUNTIFS('کارهای 1405'!$G:$G,A249,'کارهای 1405'!$L:$L,"&lt;&gt;انجام شده",'کارهای 1405'!$L:$L,"&lt;&gt;لغو شده")</f>
        <v/>
      </c>
      <c r="I249" s="9" t="inlineStr"/>
    </row>
    <row r="250">
      <c r="A250" s="10" t="n">
        <v>46350</v>
      </c>
      <c r="B250" s="9" t="inlineStr">
        <is>
          <t>1405/09/03</t>
        </is>
      </c>
      <c r="C250" s="9" t="inlineStr">
        <is>
          <t>آذر</t>
        </is>
      </c>
      <c r="D250" s="9" t="n">
        <v>3</v>
      </c>
      <c r="E250" s="9" t="inlineStr">
        <is>
          <t>پاییز</t>
        </is>
      </c>
      <c r="F250" s="9" t="inlineStr"/>
      <c r="G250" s="9">
        <f>COUNTIF('کارهای 1405'!$G:$G,A250)</f>
        <v/>
      </c>
      <c r="H250" s="9">
        <f>COUNTIFS('کارهای 1405'!$G:$G,A250,'کارهای 1405'!$L:$L,"&lt;&gt;انجام شده",'کارهای 1405'!$L:$L,"&lt;&gt;لغو شده")</f>
        <v/>
      </c>
      <c r="I250" s="9" t="inlineStr"/>
    </row>
    <row r="251">
      <c r="A251" s="10" t="n">
        <v>46351</v>
      </c>
      <c r="B251" s="9" t="inlineStr">
        <is>
          <t>1405/09/04</t>
        </is>
      </c>
      <c r="C251" s="9" t="inlineStr">
        <is>
          <t>آذر</t>
        </is>
      </c>
      <c r="D251" s="9" t="n">
        <v>4</v>
      </c>
      <c r="E251" s="9" t="inlineStr">
        <is>
          <t>پاییز</t>
        </is>
      </c>
      <c r="F251" s="9" t="inlineStr"/>
      <c r="G251" s="9">
        <f>COUNTIF('کارهای 1405'!$G:$G,A251)</f>
        <v/>
      </c>
      <c r="H251" s="9">
        <f>COUNTIFS('کارهای 1405'!$G:$G,A251,'کارهای 1405'!$L:$L,"&lt;&gt;انجام شده",'کارهای 1405'!$L:$L,"&lt;&gt;لغو شده")</f>
        <v/>
      </c>
      <c r="I251" s="9" t="inlineStr"/>
    </row>
    <row r="252">
      <c r="A252" s="10" t="n">
        <v>46352</v>
      </c>
      <c r="B252" s="9" t="inlineStr">
        <is>
          <t>1405/09/05</t>
        </is>
      </c>
      <c r="C252" s="9" t="inlineStr">
        <is>
          <t>آذر</t>
        </is>
      </c>
      <c r="D252" s="9" t="n">
        <v>5</v>
      </c>
      <c r="E252" s="9" t="inlineStr">
        <is>
          <t>پاییز</t>
        </is>
      </c>
      <c r="F252" s="9" t="inlineStr"/>
      <c r="G252" s="9">
        <f>COUNTIF('کارهای 1405'!$G:$G,A252)</f>
        <v/>
      </c>
      <c r="H252" s="9">
        <f>COUNTIFS('کارهای 1405'!$G:$G,A252,'کارهای 1405'!$L:$L,"&lt;&gt;انجام شده",'کارهای 1405'!$L:$L,"&lt;&gt;لغو شده")</f>
        <v/>
      </c>
      <c r="I252" s="9" t="inlineStr"/>
    </row>
    <row r="253">
      <c r="A253" s="10" t="n">
        <v>46353</v>
      </c>
      <c r="B253" s="9" t="inlineStr">
        <is>
          <t>1405/09/06</t>
        </is>
      </c>
      <c r="C253" s="9" t="inlineStr">
        <is>
          <t>آذر</t>
        </is>
      </c>
      <c r="D253" s="9" t="n">
        <v>6</v>
      </c>
      <c r="E253" s="9" t="inlineStr">
        <is>
          <t>پاییز</t>
        </is>
      </c>
      <c r="F253" s="9" t="inlineStr"/>
      <c r="G253" s="9">
        <f>COUNTIF('کارهای 1405'!$G:$G,A253)</f>
        <v/>
      </c>
      <c r="H253" s="9">
        <f>COUNTIFS('کارهای 1405'!$G:$G,A253,'کارهای 1405'!$L:$L,"&lt;&gt;انجام شده",'کارهای 1405'!$L:$L,"&lt;&gt;لغو شده")</f>
        <v/>
      </c>
      <c r="I253" s="9" t="inlineStr"/>
    </row>
    <row r="254">
      <c r="A254" s="10" t="n">
        <v>46354</v>
      </c>
      <c r="B254" s="9" t="inlineStr">
        <is>
          <t>1405/09/07</t>
        </is>
      </c>
      <c r="C254" s="9" t="inlineStr">
        <is>
          <t>آذر</t>
        </is>
      </c>
      <c r="D254" s="9" t="n">
        <v>7</v>
      </c>
      <c r="E254" s="9" t="inlineStr">
        <is>
          <t>پاییز</t>
        </is>
      </c>
      <c r="F254" s="9" t="inlineStr"/>
      <c r="G254" s="9">
        <f>COUNTIF('کارهای 1405'!$G:$G,A254)</f>
        <v/>
      </c>
      <c r="H254" s="9">
        <f>COUNTIFS('کارهای 1405'!$G:$G,A254,'کارهای 1405'!$L:$L,"&lt;&gt;انجام شده",'کارهای 1405'!$L:$L,"&lt;&gt;لغو شده")</f>
        <v/>
      </c>
      <c r="I254" s="9" t="inlineStr"/>
    </row>
    <row r="255">
      <c r="A255" s="10" t="n">
        <v>46355</v>
      </c>
      <c r="B255" s="9" t="inlineStr">
        <is>
          <t>1405/09/08</t>
        </is>
      </c>
      <c r="C255" s="9" t="inlineStr">
        <is>
          <t>آذر</t>
        </is>
      </c>
      <c r="D255" s="9" t="n">
        <v>8</v>
      </c>
      <c r="E255" s="9" t="inlineStr">
        <is>
          <t>پاییز</t>
        </is>
      </c>
      <c r="F255" s="9" t="inlineStr"/>
      <c r="G255" s="9">
        <f>COUNTIF('کارهای 1405'!$G:$G,A255)</f>
        <v/>
      </c>
      <c r="H255" s="9">
        <f>COUNTIFS('کارهای 1405'!$G:$G,A255,'کارهای 1405'!$L:$L,"&lt;&gt;انجام شده",'کارهای 1405'!$L:$L,"&lt;&gt;لغو شده")</f>
        <v/>
      </c>
      <c r="I255" s="9" t="inlineStr"/>
    </row>
    <row r="256">
      <c r="A256" s="10" t="n">
        <v>46356</v>
      </c>
      <c r="B256" s="9" t="inlineStr">
        <is>
          <t>1405/09/09</t>
        </is>
      </c>
      <c r="C256" s="9" t="inlineStr">
        <is>
          <t>آذر</t>
        </is>
      </c>
      <c r="D256" s="9" t="n">
        <v>9</v>
      </c>
      <c r="E256" s="9" t="inlineStr">
        <is>
          <t>پاییز</t>
        </is>
      </c>
      <c r="F256" s="9" t="inlineStr"/>
      <c r="G256" s="9">
        <f>COUNTIF('کارهای 1405'!$G:$G,A256)</f>
        <v/>
      </c>
      <c r="H256" s="9">
        <f>COUNTIFS('کارهای 1405'!$G:$G,A256,'کارهای 1405'!$L:$L,"&lt;&gt;انجام شده",'کارهای 1405'!$L:$L,"&lt;&gt;لغو شده")</f>
        <v/>
      </c>
      <c r="I256" s="9" t="inlineStr"/>
    </row>
    <row r="257">
      <c r="A257" s="10" t="n">
        <v>46357</v>
      </c>
      <c r="B257" s="9" t="inlineStr">
        <is>
          <t>1405/09/10</t>
        </is>
      </c>
      <c r="C257" s="9" t="inlineStr">
        <is>
          <t>آذر</t>
        </is>
      </c>
      <c r="D257" s="9" t="n">
        <v>10</v>
      </c>
      <c r="E257" s="9" t="inlineStr">
        <is>
          <t>پاییز</t>
        </is>
      </c>
      <c r="F257" s="9" t="inlineStr"/>
      <c r="G257" s="9">
        <f>COUNTIF('کارهای 1405'!$G:$G,A257)</f>
        <v/>
      </c>
      <c r="H257" s="9">
        <f>COUNTIFS('کارهای 1405'!$G:$G,A257,'کارهای 1405'!$L:$L,"&lt;&gt;انجام شده",'کارهای 1405'!$L:$L,"&lt;&gt;لغو شده")</f>
        <v/>
      </c>
      <c r="I257" s="9" t="inlineStr"/>
    </row>
    <row r="258">
      <c r="A258" s="10" t="n">
        <v>46358</v>
      </c>
      <c r="B258" s="9" t="inlineStr">
        <is>
          <t>1405/09/11</t>
        </is>
      </c>
      <c r="C258" s="9" t="inlineStr">
        <is>
          <t>آذر</t>
        </is>
      </c>
      <c r="D258" s="9" t="n">
        <v>11</v>
      </c>
      <c r="E258" s="9" t="inlineStr">
        <is>
          <t>پاییز</t>
        </is>
      </c>
      <c r="F258" s="9" t="inlineStr"/>
      <c r="G258" s="9">
        <f>COUNTIF('کارهای 1405'!$G:$G,A258)</f>
        <v/>
      </c>
      <c r="H258" s="9">
        <f>COUNTIFS('کارهای 1405'!$G:$G,A258,'کارهای 1405'!$L:$L,"&lt;&gt;انجام شده",'کارهای 1405'!$L:$L,"&lt;&gt;لغو شده")</f>
        <v/>
      </c>
      <c r="I258" s="9" t="inlineStr"/>
    </row>
    <row r="259">
      <c r="A259" s="10" t="n">
        <v>46359</v>
      </c>
      <c r="B259" s="9" t="inlineStr">
        <is>
          <t>1405/09/12</t>
        </is>
      </c>
      <c r="C259" s="9" t="inlineStr">
        <is>
          <t>آذر</t>
        </is>
      </c>
      <c r="D259" s="9" t="n">
        <v>12</v>
      </c>
      <c r="E259" s="9" t="inlineStr">
        <is>
          <t>پاییز</t>
        </is>
      </c>
      <c r="F259" s="9" t="inlineStr"/>
      <c r="G259" s="9">
        <f>COUNTIF('کارهای 1405'!$G:$G,A259)</f>
        <v/>
      </c>
      <c r="H259" s="9">
        <f>COUNTIFS('کارهای 1405'!$G:$G,A259,'کارهای 1405'!$L:$L,"&lt;&gt;انجام شده",'کارهای 1405'!$L:$L,"&lt;&gt;لغو شده")</f>
        <v/>
      </c>
      <c r="I259" s="9" t="inlineStr"/>
    </row>
    <row r="260">
      <c r="A260" s="10" t="n">
        <v>46360</v>
      </c>
      <c r="B260" s="9" t="inlineStr">
        <is>
          <t>1405/09/13</t>
        </is>
      </c>
      <c r="C260" s="9" t="inlineStr">
        <is>
          <t>آذر</t>
        </is>
      </c>
      <c r="D260" s="9" t="n">
        <v>13</v>
      </c>
      <c r="E260" s="9" t="inlineStr">
        <is>
          <t>پاییز</t>
        </is>
      </c>
      <c r="F260" s="9" t="inlineStr"/>
      <c r="G260" s="9">
        <f>COUNTIF('کارهای 1405'!$G:$G,A260)</f>
        <v/>
      </c>
      <c r="H260" s="9">
        <f>COUNTIFS('کارهای 1405'!$G:$G,A260,'کارهای 1405'!$L:$L,"&lt;&gt;انجام شده",'کارهای 1405'!$L:$L,"&lt;&gt;لغو شده")</f>
        <v/>
      </c>
      <c r="I260" s="9" t="inlineStr"/>
    </row>
    <row r="261">
      <c r="A261" s="10" t="n">
        <v>46361</v>
      </c>
      <c r="B261" s="9" t="inlineStr">
        <is>
          <t>1405/09/14</t>
        </is>
      </c>
      <c r="C261" s="9" t="inlineStr">
        <is>
          <t>آذر</t>
        </is>
      </c>
      <c r="D261" s="9" t="n">
        <v>14</v>
      </c>
      <c r="E261" s="9" t="inlineStr">
        <is>
          <t>پاییز</t>
        </is>
      </c>
      <c r="F261" s="9" t="inlineStr"/>
      <c r="G261" s="9">
        <f>COUNTIF('کارهای 1405'!$G:$G,A261)</f>
        <v/>
      </c>
      <c r="H261" s="9">
        <f>COUNTIFS('کارهای 1405'!$G:$G,A261,'کارهای 1405'!$L:$L,"&lt;&gt;انجام شده",'کارهای 1405'!$L:$L,"&lt;&gt;لغو شده")</f>
        <v/>
      </c>
      <c r="I261" s="9" t="inlineStr"/>
    </row>
    <row r="262">
      <c r="A262" s="10" t="n">
        <v>46362</v>
      </c>
      <c r="B262" s="9" t="inlineStr">
        <is>
          <t>1405/09/15</t>
        </is>
      </c>
      <c r="C262" s="9" t="inlineStr">
        <is>
          <t>آذر</t>
        </is>
      </c>
      <c r="D262" s="9" t="n">
        <v>15</v>
      </c>
      <c r="E262" s="9" t="inlineStr">
        <is>
          <t>پاییز</t>
        </is>
      </c>
      <c r="F262" s="9" t="inlineStr"/>
      <c r="G262" s="9">
        <f>COUNTIF('کارهای 1405'!$G:$G,A262)</f>
        <v/>
      </c>
      <c r="H262" s="9">
        <f>COUNTIFS('کارهای 1405'!$G:$G,A262,'کارهای 1405'!$L:$L,"&lt;&gt;انجام شده",'کارهای 1405'!$L:$L,"&lt;&gt;لغو شده")</f>
        <v/>
      </c>
      <c r="I262" s="9" t="inlineStr"/>
    </row>
    <row r="263">
      <c r="A263" s="10" t="n">
        <v>46363</v>
      </c>
      <c r="B263" s="9" t="inlineStr">
        <is>
          <t>1405/09/16</t>
        </is>
      </c>
      <c r="C263" s="9" t="inlineStr">
        <is>
          <t>آذر</t>
        </is>
      </c>
      <c r="D263" s="9" t="n">
        <v>16</v>
      </c>
      <c r="E263" s="9" t="inlineStr">
        <is>
          <t>پاییز</t>
        </is>
      </c>
      <c r="F263" s="9" t="inlineStr"/>
      <c r="G263" s="9">
        <f>COUNTIF('کارهای 1405'!$G:$G,A263)</f>
        <v/>
      </c>
      <c r="H263" s="9">
        <f>COUNTIFS('کارهای 1405'!$G:$G,A263,'کارهای 1405'!$L:$L,"&lt;&gt;انجام شده",'کارهای 1405'!$L:$L,"&lt;&gt;لغو شده")</f>
        <v/>
      </c>
      <c r="I263" s="9" t="inlineStr"/>
    </row>
    <row r="264">
      <c r="A264" s="10" t="n">
        <v>46364</v>
      </c>
      <c r="B264" s="9" t="inlineStr">
        <is>
          <t>1405/09/17</t>
        </is>
      </c>
      <c r="C264" s="9" t="inlineStr">
        <is>
          <t>آذر</t>
        </is>
      </c>
      <c r="D264" s="9" t="n">
        <v>17</v>
      </c>
      <c r="E264" s="9" t="inlineStr">
        <is>
          <t>پاییز</t>
        </is>
      </c>
      <c r="F264" s="9" t="inlineStr"/>
      <c r="G264" s="9">
        <f>COUNTIF('کارهای 1405'!$G:$G,A264)</f>
        <v/>
      </c>
      <c r="H264" s="9">
        <f>COUNTIFS('کارهای 1405'!$G:$G,A264,'کارهای 1405'!$L:$L,"&lt;&gt;انجام شده",'کارهای 1405'!$L:$L,"&lt;&gt;لغو شده")</f>
        <v/>
      </c>
      <c r="I264" s="9" t="inlineStr"/>
    </row>
    <row r="265">
      <c r="A265" s="10" t="n">
        <v>46365</v>
      </c>
      <c r="B265" s="9" t="inlineStr">
        <is>
          <t>1405/09/18</t>
        </is>
      </c>
      <c r="C265" s="9" t="inlineStr">
        <is>
          <t>آذر</t>
        </is>
      </c>
      <c r="D265" s="9" t="n">
        <v>18</v>
      </c>
      <c r="E265" s="9" t="inlineStr">
        <is>
          <t>پاییز</t>
        </is>
      </c>
      <c r="F265" s="9" t="inlineStr"/>
      <c r="G265" s="9">
        <f>COUNTIF('کارهای 1405'!$G:$G,A265)</f>
        <v/>
      </c>
      <c r="H265" s="9">
        <f>COUNTIFS('کارهای 1405'!$G:$G,A265,'کارهای 1405'!$L:$L,"&lt;&gt;انجام شده",'کارهای 1405'!$L:$L,"&lt;&gt;لغو شده")</f>
        <v/>
      </c>
      <c r="I265" s="9" t="inlineStr"/>
    </row>
    <row r="266">
      <c r="A266" s="10" t="n">
        <v>46366</v>
      </c>
      <c r="B266" s="9" t="inlineStr">
        <is>
          <t>1405/09/19</t>
        </is>
      </c>
      <c r="C266" s="9" t="inlineStr">
        <is>
          <t>آذر</t>
        </is>
      </c>
      <c r="D266" s="9" t="n">
        <v>19</v>
      </c>
      <c r="E266" s="9" t="inlineStr">
        <is>
          <t>پاییز</t>
        </is>
      </c>
      <c r="F266" s="9" t="inlineStr"/>
      <c r="G266" s="9">
        <f>COUNTIF('کارهای 1405'!$G:$G,A266)</f>
        <v/>
      </c>
      <c r="H266" s="9">
        <f>COUNTIFS('کارهای 1405'!$G:$G,A266,'کارهای 1405'!$L:$L,"&lt;&gt;انجام شده",'کارهای 1405'!$L:$L,"&lt;&gt;لغو شده")</f>
        <v/>
      </c>
      <c r="I266" s="9" t="inlineStr"/>
    </row>
    <row r="267">
      <c r="A267" s="10" t="n">
        <v>46367</v>
      </c>
      <c r="B267" s="9" t="inlineStr">
        <is>
          <t>1405/09/20</t>
        </is>
      </c>
      <c r="C267" s="9" t="inlineStr">
        <is>
          <t>آذر</t>
        </is>
      </c>
      <c r="D267" s="9" t="n">
        <v>20</v>
      </c>
      <c r="E267" s="9" t="inlineStr">
        <is>
          <t>پاییز</t>
        </is>
      </c>
      <c r="F267" s="9" t="inlineStr"/>
      <c r="G267" s="9">
        <f>COUNTIF('کارهای 1405'!$G:$G,A267)</f>
        <v/>
      </c>
      <c r="H267" s="9">
        <f>COUNTIFS('کارهای 1405'!$G:$G,A267,'کارهای 1405'!$L:$L,"&lt;&gt;انجام شده",'کارهای 1405'!$L:$L,"&lt;&gt;لغو شده")</f>
        <v/>
      </c>
      <c r="I267" s="9" t="inlineStr"/>
    </row>
    <row r="268">
      <c r="A268" s="10" t="n">
        <v>46368</v>
      </c>
      <c r="B268" s="9" t="inlineStr">
        <is>
          <t>1405/09/21</t>
        </is>
      </c>
      <c r="C268" s="9" t="inlineStr">
        <is>
          <t>آذر</t>
        </is>
      </c>
      <c r="D268" s="9" t="n">
        <v>21</v>
      </c>
      <c r="E268" s="9" t="inlineStr">
        <is>
          <t>پاییز</t>
        </is>
      </c>
      <c r="F268" s="9" t="inlineStr"/>
      <c r="G268" s="9">
        <f>COUNTIF('کارهای 1405'!$G:$G,A268)</f>
        <v/>
      </c>
      <c r="H268" s="9">
        <f>COUNTIFS('کارهای 1405'!$G:$G,A268,'کارهای 1405'!$L:$L,"&lt;&gt;انجام شده",'کارهای 1405'!$L:$L,"&lt;&gt;لغو شده")</f>
        <v/>
      </c>
      <c r="I268" s="9" t="inlineStr"/>
    </row>
    <row r="269">
      <c r="A269" s="10" t="n">
        <v>46369</v>
      </c>
      <c r="B269" s="9" t="inlineStr">
        <is>
          <t>1405/09/22</t>
        </is>
      </c>
      <c r="C269" s="9" t="inlineStr">
        <is>
          <t>آذر</t>
        </is>
      </c>
      <c r="D269" s="9" t="n">
        <v>22</v>
      </c>
      <c r="E269" s="9" t="inlineStr">
        <is>
          <t>پاییز</t>
        </is>
      </c>
      <c r="F269" s="9" t="inlineStr"/>
      <c r="G269" s="9">
        <f>COUNTIF('کارهای 1405'!$G:$G,A269)</f>
        <v/>
      </c>
      <c r="H269" s="9">
        <f>COUNTIFS('کارهای 1405'!$G:$G,A269,'کارهای 1405'!$L:$L,"&lt;&gt;انجام شده",'کارهای 1405'!$L:$L,"&lt;&gt;لغو شده")</f>
        <v/>
      </c>
      <c r="I269" s="9" t="inlineStr"/>
    </row>
    <row r="270">
      <c r="A270" s="10" t="n">
        <v>46370</v>
      </c>
      <c r="B270" s="9" t="inlineStr">
        <is>
          <t>1405/09/23</t>
        </is>
      </c>
      <c r="C270" s="9" t="inlineStr">
        <is>
          <t>آذر</t>
        </is>
      </c>
      <c r="D270" s="9" t="n">
        <v>23</v>
      </c>
      <c r="E270" s="9" t="inlineStr">
        <is>
          <t>پاییز</t>
        </is>
      </c>
      <c r="F270" s="9" t="inlineStr"/>
      <c r="G270" s="9">
        <f>COUNTIF('کارهای 1405'!$G:$G,A270)</f>
        <v/>
      </c>
      <c r="H270" s="9">
        <f>COUNTIFS('کارهای 1405'!$G:$G,A270,'کارهای 1405'!$L:$L,"&lt;&gt;انجام شده",'کارهای 1405'!$L:$L,"&lt;&gt;لغو شده")</f>
        <v/>
      </c>
      <c r="I270" s="9" t="inlineStr"/>
    </row>
    <row r="271">
      <c r="A271" s="10" t="n">
        <v>46371</v>
      </c>
      <c r="B271" s="9" t="inlineStr">
        <is>
          <t>1405/09/24</t>
        </is>
      </c>
      <c r="C271" s="9" t="inlineStr">
        <is>
          <t>آذر</t>
        </is>
      </c>
      <c r="D271" s="9" t="n">
        <v>24</v>
      </c>
      <c r="E271" s="9" t="inlineStr">
        <is>
          <t>پاییز</t>
        </is>
      </c>
      <c r="F271" s="9" t="inlineStr"/>
      <c r="G271" s="9">
        <f>COUNTIF('کارهای 1405'!$G:$G,A271)</f>
        <v/>
      </c>
      <c r="H271" s="9">
        <f>COUNTIFS('کارهای 1405'!$G:$G,A271,'کارهای 1405'!$L:$L,"&lt;&gt;انجام شده",'کارهای 1405'!$L:$L,"&lt;&gt;لغو شده")</f>
        <v/>
      </c>
      <c r="I271" s="9" t="inlineStr"/>
    </row>
    <row r="272">
      <c r="A272" s="10" t="n">
        <v>46372</v>
      </c>
      <c r="B272" s="9" t="inlineStr">
        <is>
          <t>1405/09/25</t>
        </is>
      </c>
      <c r="C272" s="9" t="inlineStr">
        <is>
          <t>آذر</t>
        </is>
      </c>
      <c r="D272" s="9" t="n">
        <v>25</v>
      </c>
      <c r="E272" s="9" t="inlineStr">
        <is>
          <t>پاییز</t>
        </is>
      </c>
      <c r="F272" s="9" t="inlineStr"/>
      <c r="G272" s="9">
        <f>COUNTIF('کارهای 1405'!$G:$G,A272)</f>
        <v/>
      </c>
      <c r="H272" s="9">
        <f>COUNTIFS('کارهای 1405'!$G:$G,A272,'کارهای 1405'!$L:$L,"&lt;&gt;انجام شده",'کارهای 1405'!$L:$L,"&lt;&gt;لغو شده")</f>
        <v/>
      </c>
      <c r="I272" s="9" t="inlineStr"/>
    </row>
    <row r="273">
      <c r="A273" s="10" t="n">
        <v>46373</v>
      </c>
      <c r="B273" s="9" t="inlineStr">
        <is>
          <t>1405/09/26</t>
        </is>
      </c>
      <c r="C273" s="9" t="inlineStr">
        <is>
          <t>آذر</t>
        </is>
      </c>
      <c r="D273" s="9" t="n">
        <v>26</v>
      </c>
      <c r="E273" s="9" t="inlineStr">
        <is>
          <t>پاییز</t>
        </is>
      </c>
      <c r="F273" s="9" t="inlineStr"/>
      <c r="G273" s="9">
        <f>COUNTIF('کارهای 1405'!$G:$G,A273)</f>
        <v/>
      </c>
      <c r="H273" s="9">
        <f>COUNTIFS('کارهای 1405'!$G:$G,A273,'کارهای 1405'!$L:$L,"&lt;&gt;انجام شده",'کارهای 1405'!$L:$L,"&lt;&gt;لغو شده")</f>
        <v/>
      </c>
      <c r="I273" s="9" t="inlineStr"/>
    </row>
    <row r="274">
      <c r="A274" s="10" t="n">
        <v>46374</v>
      </c>
      <c r="B274" s="9" t="inlineStr">
        <is>
          <t>1405/09/27</t>
        </is>
      </c>
      <c r="C274" s="9" t="inlineStr">
        <is>
          <t>آذر</t>
        </is>
      </c>
      <c r="D274" s="9" t="n">
        <v>27</v>
      </c>
      <c r="E274" s="9" t="inlineStr">
        <is>
          <t>پاییز</t>
        </is>
      </c>
      <c r="F274" s="9" t="inlineStr"/>
      <c r="G274" s="9">
        <f>COUNTIF('کارهای 1405'!$G:$G,A274)</f>
        <v/>
      </c>
      <c r="H274" s="9">
        <f>COUNTIFS('کارهای 1405'!$G:$G,A274,'کارهای 1405'!$L:$L,"&lt;&gt;انجام شده",'کارهای 1405'!$L:$L,"&lt;&gt;لغو شده")</f>
        <v/>
      </c>
      <c r="I274" s="9" t="inlineStr"/>
    </row>
    <row r="275">
      <c r="A275" s="10" t="n">
        <v>46375</v>
      </c>
      <c r="B275" s="9" t="inlineStr">
        <is>
          <t>1405/09/28</t>
        </is>
      </c>
      <c r="C275" s="9" t="inlineStr">
        <is>
          <t>آذر</t>
        </is>
      </c>
      <c r="D275" s="9" t="n">
        <v>28</v>
      </c>
      <c r="E275" s="9" t="inlineStr">
        <is>
          <t>پاییز</t>
        </is>
      </c>
      <c r="F275" s="9" t="inlineStr"/>
      <c r="G275" s="9">
        <f>COUNTIF('کارهای 1405'!$G:$G,A275)</f>
        <v/>
      </c>
      <c r="H275" s="9">
        <f>COUNTIFS('کارهای 1405'!$G:$G,A275,'کارهای 1405'!$L:$L,"&lt;&gt;انجام شده",'کارهای 1405'!$L:$L,"&lt;&gt;لغو شده")</f>
        <v/>
      </c>
      <c r="I275" s="9" t="inlineStr"/>
    </row>
    <row r="276">
      <c r="A276" s="10" t="n">
        <v>46376</v>
      </c>
      <c r="B276" s="9" t="inlineStr">
        <is>
          <t>1405/09/29</t>
        </is>
      </c>
      <c r="C276" s="9" t="inlineStr">
        <is>
          <t>آذر</t>
        </is>
      </c>
      <c r="D276" s="9" t="n">
        <v>29</v>
      </c>
      <c r="E276" s="9" t="inlineStr">
        <is>
          <t>پاییز</t>
        </is>
      </c>
      <c r="F276" s="9" t="inlineStr"/>
      <c r="G276" s="9">
        <f>COUNTIF('کارهای 1405'!$G:$G,A276)</f>
        <v/>
      </c>
      <c r="H276" s="9">
        <f>COUNTIFS('کارهای 1405'!$G:$G,A276,'کارهای 1405'!$L:$L,"&lt;&gt;انجام شده",'کارهای 1405'!$L:$L,"&lt;&gt;لغو شده")</f>
        <v/>
      </c>
      <c r="I276" s="9" t="inlineStr"/>
    </row>
    <row r="277">
      <c r="A277" s="10" t="n">
        <v>46377</v>
      </c>
      <c r="B277" s="9" t="inlineStr">
        <is>
          <t>1405/09/30</t>
        </is>
      </c>
      <c r="C277" s="9" t="inlineStr">
        <is>
          <t>آذر</t>
        </is>
      </c>
      <c r="D277" s="9" t="n">
        <v>30</v>
      </c>
      <c r="E277" s="9" t="inlineStr">
        <is>
          <t>پاییز</t>
        </is>
      </c>
      <c r="F277" s="9" t="inlineStr"/>
      <c r="G277" s="9">
        <f>COUNTIF('کارهای 1405'!$G:$G,A277)</f>
        <v/>
      </c>
      <c r="H277" s="9">
        <f>COUNTIFS('کارهای 1405'!$G:$G,A277,'کارهای 1405'!$L:$L,"&lt;&gt;انجام شده",'کارهای 1405'!$L:$L,"&lt;&gt;لغو شده")</f>
        <v/>
      </c>
      <c r="I277" s="9" t="inlineStr"/>
    </row>
    <row r="278">
      <c r="A278" s="10" t="n">
        <v>46378</v>
      </c>
      <c r="B278" s="9" t="inlineStr">
        <is>
          <t>1405/10/01</t>
        </is>
      </c>
      <c r="C278" s="9" t="inlineStr">
        <is>
          <t>دی</t>
        </is>
      </c>
      <c r="D278" s="9" t="n">
        <v>1</v>
      </c>
      <c r="E278" s="9" t="inlineStr">
        <is>
          <t>زمستان</t>
        </is>
      </c>
      <c r="F278" s="9" t="inlineStr"/>
      <c r="G278" s="9">
        <f>COUNTIF('کارهای 1405'!$G:$G,A278)</f>
        <v/>
      </c>
      <c r="H278" s="9">
        <f>COUNTIFS('کارهای 1405'!$G:$G,A278,'کارهای 1405'!$L:$L,"&lt;&gt;انجام شده",'کارهای 1405'!$L:$L,"&lt;&gt;لغو شده")</f>
        <v/>
      </c>
      <c r="I278" s="9" t="inlineStr"/>
    </row>
    <row r="279">
      <c r="A279" s="10" t="n">
        <v>46379</v>
      </c>
      <c r="B279" s="9" t="inlineStr">
        <is>
          <t>1405/10/02</t>
        </is>
      </c>
      <c r="C279" s="9" t="inlineStr">
        <is>
          <t>دی</t>
        </is>
      </c>
      <c r="D279" s="9" t="n">
        <v>2</v>
      </c>
      <c r="E279" s="9" t="inlineStr">
        <is>
          <t>زمستان</t>
        </is>
      </c>
      <c r="F279" s="9" t="inlineStr"/>
      <c r="G279" s="9">
        <f>COUNTIF('کارهای 1405'!$G:$G,A279)</f>
        <v/>
      </c>
      <c r="H279" s="9">
        <f>COUNTIFS('کارهای 1405'!$G:$G,A279,'کارهای 1405'!$L:$L,"&lt;&gt;انجام شده",'کارهای 1405'!$L:$L,"&lt;&gt;لغو شده")</f>
        <v/>
      </c>
      <c r="I279" s="9" t="inlineStr"/>
    </row>
    <row r="280">
      <c r="A280" s="10" t="n">
        <v>46380</v>
      </c>
      <c r="B280" s="9" t="inlineStr">
        <is>
          <t>1405/10/03</t>
        </is>
      </c>
      <c r="C280" s="9" t="inlineStr">
        <is>
          <t>دی</t>
        </is>
      </c>
      <c r="D280" s="9" t="n">
        <v>3</v>
      </c>
      <c r="E280" s="9" t="inlineStr">
        <is>
          <t>زمستان</t>
        </is>
      </c>
      <c r="F280" s="9" t="inlineStr"/>
      <c r="G280" s="9">
        <f>COUNTIF('کارهای 1405'!$G:$G,A280)</f>
        <v/>
      </c>
      <c r="H280" s="9">
        <f>COUNTIFS('کارهای 1405'!$G:$G,A280,'کارهای 1405'!$L:$L,"&lt;&gt;انجام شده",'کارهای 1405'!$L:$L,"&lt;&gt;لغو شده")</f>
        <v/>
      </c>
      <c r="I280" s="9" t="inlineStr"/>
    </row>
    <row r="281">
      <c r="A281" s="10" t="n">
        <v>46381</v>
      </c>
      <c r="B281" s="9" t="inlineStr">
        <is>
          <t>1405/10/04</t>
        </is>
      </c>
      <c r="C281" s="9" t="inlineStr">
        <is>
          <t>دی</t>
        </is>
      </c>
      <c r="D281" s="9" t="n">
        <v>4</v>
      </c>
      <c r="E281" s="9" t="inlineStr">
        <is>
          <t>زمستان</t>
        </is>
      </c>
      <c r="F281" s="9" t="inlineStr"/>
      <c r="G281" s="9">
        <f>COUNTIF('کارهای 1405'!$G:$G,A281)</f>
        <v/>
      </c>
      <c r="H281" s="9">
        <f>COUNTIFS('کارهای 1405'!$G:$G,A281,'کارهای 1405'!$L:$L,"&lt;&gt;انجام شده",'کارهای 1405'!$L:$L,"&lt;&gt;لغو شده")</f>
        <v/>
      </c>
      <c r="I281" s="9" t="inlineStr"/>
    </row>
    <row r="282">
      <c r="A282" s="10" t="n">
        <v>46382</v>
      </c>
      <c r="B282" s="9" t="inlineStr">
        <is>
          <t>1405/10/05</t>
        </is>
      </c>
      <c r="C282" s="9" t="inlineStr">
        <is>
          <t>دی</t>
        </is>
      </c>
      <c r="D282" s="9" t="n">
        <v>5</v>
      </c>
      <c r="E282" s="9" t="inlineStr">
        <is>
          <t>زمستان</t>
        </is>
      </c>
      <c r="F282" s="9" t="inlineStr"/>
      <c r="G282" s="9">
        <f>COUNTIF('کارهای 1405'!$G:$G,A282)</f>
        <v/>
      </c>
      <c r="H282" s="9">
        <f>COUNTIFS('کارهای 1405'!$G:$G,A282,'کارهای 1405'!$L:$L,"&lt;&gt;انجام شده",'کارهای 1405'!$L:$L,"&lt;&gt;لغو شده")</f>
        <v/>
      </c>
      <c r="I282" s="9" t="inlineStr"/>
    </row>
    <row r="283">
      <c r="A283" s="10" t="n">
        <v>46383</v>
      </c>
      <c r="B283" s="9" t="inlineStr">
        <is>
          <t>1405/10/06</t>
        </is>
      </c>
      <c r="C283" s="9" t="inlineStr">
        <is>
          <t>دی</t>
        </is>
      </c>
      <c r="D283" s="9" t="n">
        <v>6</v>
      </c>
      <c r="E283" s="9" t="inlineStr">
        <is>
          <t>زمستان</t>
        </is>
      </c>
      <c r="F283" s="9" t="inlineStr"/>
      <c r="G283" s="9">
        <f>COUNTIF('کارهای 1405'!$G:$G,A283)</f>
        <v/>
      </c>
      <c r="H283" s="9">
        <f>COUNTIFS('کارهای 1405'!$G:$G,A283,'کارهای 1405'!$L:$L,"&lt;&gt;انجام شده",'کارهای 1405'!$L:$L,"&lt;&gt;لغو شده")</f>
        <v/>
      </c>
      <c r="I283" s="9" t="inlineStr"/>
    </row>
    <row r="284">
      <c r="A284" s="10" t="n">
        <v>46384</v>
      </c>
      <c r="B284" s="9" t="inlineStr">
        <is>
          <t>1405/10/07</t>
        </is>
      </c>
      <c r="C284" s="9" t="inlineStr">
        <is>
          <t>دی</t>
        </is>
      </c>
      <c r="D284" s="9" t="n">
        <v>7</v>
      </c>
      <c r="E284" s="9" t="inlineStr">
        <is>
          <t>زمستان</t>
        </is>
      </c>
      <c r="F284" s="9" t="inlineStr"/>
      <c r="G284" s="9">
        <f>COUNTIF('کارهای 1405'!$G:$G,A284)</f>
        <v/>
      </c>
      <c r="H284" s="9">
        <f>COUNTIFS('کارهای 1405'!$G:$G,A284,'کارهای 1405'!$L:$L,"&lt;&gt;انجام شده",'کارهای 1405'!$L:$L,"&lt;&gt;لغو شده")</f>
        <v/>
      </c>
      <c r="I284" s="9" t="inlineStr"/>
    </row>
    <row r="285">
      <c r="A285" s="10" t="n">
        <v>46385</v>
      </c>
      <c r="B285" s="9" t="inlineStr">
        <is>
          <t>1405/10/08</t>
        </is>
      </c>
      <c r="C285" s="9" t="inlineStr">
        <is>
          <t>دی</t>
        </is>
      </c>
      <c r="D285" s="9" t="n">
        <v>8</v>
      </c>
      <c r="E285" s="9" t="inlineStr">
        <is>
          <t>زمستان</t>
        </is>
      </c>
      <c r="F285" s="9" t="inlineStr"/>
      <c r="G285" s="9">
        <f>COUNTIF('کارهای 1405'!$G:$G,A285)</f>
        <v/>
      </c>
      <c r="H285" s="9">
        <f>COUNTIFS('کارهای 1405'!$G:$G,A285,'کارهای 1405'!$L:$L,"&lt;&gt;انجام شده",'کارهای 1405'!$L:$L,"&lt;&gt;لغو شده")</f>
        <v/>
      </c>
      <c r="I285" s="9" t="inlineStr"/>
    </row>
    <row r="286">
      <c r="A286" s="10" t="n">
        <v>46386</v>
      </c>
      <c r="B286" s="9" t="inlineStr">
        <is>
          <t>1405/10/09</t>
        </is>
      </c>
      <c r="C286" s="9" t="inlineStr">
        <is>
          <t>دی</t>
        </is>
      </c>
      <c r="D286" s="9" t="n">
        <v>9</v>
      </c>
      <c r="E286" s="9" t="inlineStr">
        <is>
          <t>زمستان</t>
        </is>
      </c>
      <c r="F286" s="9" t="inlineStr"/>
      <c r="G286" s="9">
        <f>COUNTIF('کارهای 1405'!$G:$G,A286)</f>
        <v/>
      </c>
      <c r="H286" s="9">
        <f>COUNTIFS('کارهای 1405'!$G:$G,A286,'کارهای 1405'!$L:$L,"&lt;&gt;انجام شده",'کارهای 1405'!$L:$L,"&lt;&gt;لغو شده")</f>
        <v/>
      </c>
      <c r="I286" s="9" t="inlineStr"/>
    </row>
    <row r="287">
      <c r="A287" s="10" t="n">
        <v>46387</v>
      </c>
      <c r="B287" s="9" t="inlineStr">
        <is>
          <t>1405/10/10</t>
        </is>
      </c>
      <c r="C287" s="9" t="inlineStr">
        <is>
          <t>دی</t>
        </is>
      </c>
      <c r="D287" s="9" t="n">
        <v>10</v>
      </c>
      <c r="E287" s="9" t="inlineStr">
        <is>
          <t>زمستان</t>
        </is>
      </c>
      <c r="F287" s="9" t="inlineStr"/>
      <c r="G287" s="9">
        <f>COUNTIF('کارهای 1405'!$G:$G,A287)</f>
        <v/>
      </c>
      <c r="H287" s="9">
        <f>COUNTIFS('کارهای 1405'!$G:$G,A287,'کارهای 1405'!$L:$L,"&lt;&gt;انجام شده",'کارهای 1405'!$L:$L,"&lt;&gt;لغو شده")</f>
        <v/>
      </c>
      <c r="I287" s="9" t="inlineStr"/>
    </row>
    <row r="288">
      <c r="A288" s="10" t="n">
        <v>46388</v>
      </c>
      <c r="B288" s="9" t="inlineStr">
        <is>
          <t>1405/10/11</t>
        </is>
      </c>
      <c r="C288" s="9" t="inlineStr">
        <is>
          <t>دی</t>
        </is>
      </c>
      <c r="D288" s="9" t="n">
        <v>11</v>
      </c>
      <c r="E288" s="9" t="inlineStr">
        <is>
          <t>زمستان</t>
        </is>
      </c>
      <c r="F288" s="9" t="inlineStr"/>
      <c r="G288" s="9">
        <f>COUNTIF('کارهای 1405'!$G:$G,A288)</f>
        <v/>
      </c>
      <c r="H288" s="9">
        <f>COUNTIFS('کارهای 1405'!$G:$G,A288,'کارهای 1405'!$L:$L,"&lt;&gt;انجام شده",'کارهای 1405'!$L:$L,"&lt;&gt;لغو شده")</f>
        <v/>
      </c>
      <c r="I288" s="9" t="inlineStr"/>
    </row>
    <row r="289">
      <c r="A289" s="10" t="n">
        <v>46389</v>
      </c>
      <c r="B289" s="9" t="inlineStr">
        <is>
          <t>1405/10/12</t>
        </is>
      </c>
      <c r="C289" s="9" t="inlineStr">
        <is>
          <t>دی</t>
        </is>
      </c>
      <c r="D289" s="9" t="n">
        <v>12</v>
      </c>
      <c r="E289" s="9" t="inlineStr">
        <is>
          <t>زمستان</t>
        </is>
      </c>
      <c r="F289" s="9" t="inlineStr"/>
      <c r="G289" s="9">
        <f>COUNTIF('کارهای 1405'!$G:$G,A289)</f>
        <v/>
      </c>
      <c r="H289" s="9">
        <f>COUNTIFS('کارهای 1405'!$G:$G,A289,'کارهای 1405'!$L:$L,"&lt;&gt;انجام شده",'کارهای 1405'!$L:$L,"&lt;&gt;لغو شده")</f>
        <v/>
      </c>
      <c r="I289" s="9" t="inlineStr"/>
    </row>
    <row r="290">
      <c r="A290" s="10" t="n">
        <v>46390</v>
      </c>
      <c r="B290" s="9" t="inlineStr">
        <is>
          <t>1405/10/13</t>
        </is>
      </c>
      <c r="C290" s="9" t="inlineStr">
        <is>
          <t>دی</t>
        </is>
      </c>
      <c r="D290" s="9" t="n">
        <v>13</v>
      </c>
      <c r="E290" s="9" t="inlineStr">
        <is>
          <t>زمستان</t>
        </is>
      </c>
      <c r="F290" s="9" t="inlineStr"/>
      <c r="G290" s="9">
        <f>COUNTIF('کارهای 1405'!$G:$G,A290)</f>
        <v/>
      </c>
      <c r="H290" s="9">
        <f>COUNTIFS('کارهای 1405'!$G:$G,A290,'کارهای 1405'!$L:$L,"&lt;&gt;انجام شده",'کارهای 1405'!$L:$L,"&lt;&gt;لغو شده")</f>
        <v/>
      </c>
      <c r="I290" s="9" t="inlineStr"/>
    </row>
    <row r="291">
      <c r="A291" s="10" t="n">
        <v>46391</v>
      </c>
      <c r="B291" s="9" t="inlineStr">
        <is>
          <t>1405/10/14</t>
        </is>
      </c>
      <c r="C291" s="9" t="inlineStr">
        <is>
          <t>دی</t>
        </is>
      </c>
      <c r="D291" s="9" t="n">
        <v>14</v>
      </c>
      <c r="E291" s="9" t="inlineStr">
        <is>
          <t>زمستان</t>
        </is>
      </c>
      <c r="F291" s="9" t="inlineStr"/>
      <c r="G291" s="9">
        <f>COUNTIF('کارهای 1405'!$G:$G,A291)</f>
        <v/>
      </c>
      <c r="H291" s="9">
        <f>COUNTIFS('کارهای 1405'!$G:$G,A291,'کارهای 1405'!$L:$L,"&lt;&gt;انجام شده",'کارهای 1405'!$L:$L,"&lt;&gt;لغو شده")</f>
        <v/>
      </c>
      <c r="I291" s="9" t="inlineStr"/>
    </row>
    <row r="292">
      <c r="A292" s="10" t="n">
        <v>46392</v>
      </c>
      <c r="B292" s="9" t="inlineStr">
        <is>
          <t>1405/10/15</t>
        </is>
      </c>
      <c r="C292" s="9" t="inlineStr">
        <is>
          <t>دی</t>
        </is>
      </c>
      <c r="D292" s="9" t="n">
        <v>15</v>
      </c>
      <c r="E292" s="9" t="inlineStr">
        <is>
          <t>زمستان</t>
        </is>
      </c>
      <c r="F292" s="9" t="inlineStr"/>
      <c r="G292" s="9">
        <f>COUNTIF('کارهای 1405'!$G:$G,A292)</f>
        <v/>
      </c>
      <c r="H292" s="9">
        <f>COUNTIFS('کارهای 1405'!$G:$G,A292,'کارهای 1405'!$L:$L,"&lt;&gt;انجام شده",'کارهای 1405'!$L:$L,"&lt;&gt;لغو شده")</f>
        <v/>
      </c>
      <c r="I292" s="9" t="inlineStr"/>
    </row>
    <row r="293">
      <c r="A293" s="10" t="n">
        <v>46393</v>
      </c>
      <c r="B293" s="9" t="inlineStr">
        <is>
          <t>1405/10/16</t>
        </is>
      </c>
      <c r="C293" s="9" t="inlineStr">
        <is>
          <t>دی</t>
        </is>
      </c>
      <c r="D293" s="9" t="n">
        <v>16</v>
      </c>
      <c r="E293" s="9" t="inlineStr">
        <is>
          <t>زمستان</t>
        </is>
      </c>
      <c r="F293" s="9" t="inlineStr"/>
      <c r="G293" s="9">
        <f>COUNTIF('کارهای 1405'!$G:$G,A293)</f>
        <v/>
      </c>
      <c r="H293" s="9">
        <f>COUNTIFS('کارهای 1405'!$G:$G,A293,'کارهای 1405'!$L:$L,"&lt;&gt;انجام شده",'کارهای 1405'!$L:$L,"&lt;&gt;لغو شده")</f>
        <v/>
      </c>
      <c r="I293" s="9" t="inlineStr"/>
    </row>
    <row r="294">
      <c r="A294" s="10" t="n">
        <v>46394</v>
      </c>
      <c r="B294" s="9" t="inlineStr">
        <is>
          <t>1405/10/17</t>
        </is>
      </c>
      <c r="C294" s="9" t="inlineStr">
        <is>
          <t>دی</t>
        </is>
      </c>
      <c r="D294" s="9" t="n">
        <v>17</v>
      </c>
      <c r="E294" s="9" t="inlineStr">
        <is>
          <t>زمستان</t>
        </is>
      </c>
      <c r="F294" s="9" t="inlineStr"/>
      <c r="G294" s="9">
        <f>COUNTIF('کارهای 1405'!$G:$G,A294)</f>
        <v/>
      </c>
      <c r="H294" s="9">
        <f>COUNTIFS('کارهای 1405'!$G:$G,A294,'کارهای 1405'!$L:$L,"&lt;&gt;انجام شده",'کارهای 1405'!$L:$L,"&lt;&gt;لغو شده")</f>
        <v/>
      </c>
      <c r="I294" s="9" t="inlineStr"/>
    </row>
    <row r="295">
      <c r="A295" s="10" t="n">
        <v>46395</v>
      </c>
      <c r="B295" s="9" t="inlineStr">
        <is>
          <t>1405/10/18</t>
        </is>
      </c>
      <c r="C295" s="9" t="inlineStr">
        <is>
          <t>دی</t>
        </is>
      </c>
      <c r="D295" s="9" t="n">
        <v>18</v>
      </c>
      <c r="E295" s="9" t="inlineStr">
        <is>
          <t>زمستان</t>
        </is>
      </c>
      <c r="F295" s="9" t="inlineStr"/>
      <c r="G295" s="9">
        <f>COUNTIF('کارهای 1405'!$G:$G,A295)</f>
        <v/>
      </c>
      <c r="H295" s="9">
        <f>COUNTIFS('کارهای 1405'!$G:$G,A295,'کارهای 1405'!$L:$L,"&lt;&gt;انجام شده",'کارهای 1405'!$L:$L,"&lt;&gt;لغو شده")</f>
        <v/>
      </c>
      <c r="I295" s="9" t="inlineStr"/>
    </row>
    <row r="296">
      <c r="A296" s="10" t="n">
        <v>46396</v>
      </c>
      <c r="B296" s="9" t="inlineStr">
        <is>
          <t>1405/10/19</t>
        </is>
      </c>
      <c r="C296" s="9" t="inlineStr">
        <is>
          <t>دی</t>
        </is>
      </c>
      <c r="D296" s="9" t="n">
        <v>19</v>
      </c>
      <c r="E296" s="9" t="inlineStr">
        <is>
          <t>زمستان</t>
        </is>
      </c>
      <c r="F296" s="9" t="inlineStr"/>
      <c r="G296" s="9">
        <f>COUNTIF('کارهای 1405'!$G:$G,A296)</f>
        <v/>
      </c>
      <c r="H296" s="9">
        <f>COUNTIFS('کارهای 1405'!$G:$G,A296,'کارهای 1405'!$L:$L,"&lt;&gt;انجام شده",'کارهای 1405'!$L:$L,"&lt;&gt;لغو شده")</f>
        <v/>
      </c>
      <c r="I296" s="9" t="inlineStr"/>
    </row>
    <row r="297">
      <c r="A297" s="10" t="n">
        <v>46397</v>
      </c>
      <c r="B297" s="9" t="inlineStr">
        <is>
          <t>1405/10/20</t>
        </is>
      </c>
      <c r="C297" s="9" t="inlineStr">
        <is>
          <t>دی</t>
        </is>
      </c>
      <c r="D297" s="9" t="n">
        <v>20</v>
      </c>
      <c r="E297" s="9" t="inlineStr">
        <is>
          <t>زمستان</t>
        </is>
      </c>
      <c r="F297" s="9" t="inlineStr"/>
      <c r="G297" s="9">
        <f>COUNTIF('کارهای 1405'!$G:$G,A297)</f>
        <v/>
      </c>
      <c r="H297" s="9">
        <f>COUNTIFS('کارهای 1405'!$G:$G,A297,'کارهای 1405'!$L:$L,"&lt;&gt;انجام شده",'کارهای 1405'!$L:$L,"&lt;&gt;لغو شده")</f>
        <v/>
      </c>
      <c r="I297" s="9" t="inlineStr"/>
    </row>
    <row r="298">
      <c r="A298" s="10" t="n">
        <v>46398</v>
      </c>
      <c r="B298" s="9" t="inlineStr">
        <is>
          <t>1405/10/21</t>
        </is>
      </c>
      <c r="C298" s="9" t="inlineStr">
        <is>
          <t>دی</t>
        </is>
      </c>
      <c r="D298" s="9" t="n">
        <v>21</v>
      </c>
      <c r="E298" s="9" t="inlineStr">
        <is>
          <t>زمستان</t>
        </is>
      </c>
      <c r="F298" s="9" t="inlineStr"/>
      <c r="G298" s="9">
        <f>COUNTIF('کارهای 1405'!$G:$G,A298)</f>
        <v/>
      </c>
      <c r="H298" s="9">
        <f>COUNTIFS('کارهای 1405'!$G:$G,A298,'کارهای 1405'!$L:$L,"&lt;&gt;انجام شده",'کارهای 1405'!$L:$L,"&lt;&gt;لغو شده")</f>
        <v/>
      </c>
      <c r="I298" s="9" t="inlineStr"/>
    </row>
    <row r="299">
      <c r="A299" s="10" t="n">
        <v>46399</v>
      </c>
      <c r="B299" s="9" t="inlineStr">
        <is>
          <t>1405/10/22</t>
        </is>
      </c>
      <c r="C299" s="9" t="inlineStr">
        <is>
          <t>دی</t>
        </is>
      </c>
      <c r="D299" s="9" t="n">
        <v>22</v>
      </c>
      <c r="E299" s="9" t="inlineStr">
        <is>
          <t>زمستان</t>
        </is>
      </c>
      <c r="F299" s="9" t="inlineStr"/>
      <c r="G299" s="9">
        <f>COUNTIF('کارهای 1405'!$G:$G,A299)</f>
        <v/>
      </c>
      <c r="H299" s="9">
        <f>COUNTIFS('کارهای 1405'!$G:$G,A299,'کارهای 1405'!$L:$L,"&lt;&gt;انجام شده",'کارهای 1405'!$L:$L,"&lt;&gt;لغو شده")</f>
        <v/>
      </c>
      <c r="I299" s="9" t="inlineStr"/>
    </row>
    <row r="300">
      <c r="A300" s="10" t="n">
        <v>46400</v>
      </c>
      <c r="B300" s="9" t="inlineStr">
        <is>
          <t>1405/10/23</t>
        </is>
      </c>
      <c r="C300" s="9" t="inlineStr">
        <is>
          <t>دی</t>
        </is>
      </c>
      <c r="D300" s="9" t="n">
        <v>23</v>
      </c>
      <c r="E300" s="9" t="inlineStr">
        <is>
          <t>زمستان</t>
        </is>
      </c>
      <c r="F300" s="9" t="inlineStr"/>
      <c r="G300" s="9">
        <f>COUNTIF('کارهای 1405'!$G:$G,A300)</f>
        <v/>
      </c>
      <c r="H300" s="9">
        <f>COUNTIFS('کارهای 1405'!$G:$G,A300,'کارهای 1405'!$L:$L,"&lt;&gt;انجام شده",'کارهای 1405'!$L:$L,"&lt;&gt;لغو شده")</f>
        <v/>
      </c>
      <c r="I300" s="9" t="inlineStr"/>
    </row>
    <row r="301">
      <c r="A301" s="10" t="n">
        <v>46401</v>
      </c>
      <c r="B301" s="9" t="inlineStr">
        <is>
          <t>1405/10/24</t>
        </is>
      </c>
      <c r="C301" s="9" t="inlineStr">
        <is>
          <t>دی</t>
        </is>
      </c>
      <c r="D301" s="9" t="n">
        <v>24</v>
      </c>
      <c r="E301" s="9" t="inlineStr">
        <is>
          <t>زمستان</t>
        </is>
      </c>
      <c r="F301" s="9" t="inlineStr"/>
      <c r="G301" s="9">
        <f>COUNTIF('کارهای 1405'!$G:$G,A301)</f>
        <v/>
      </c>
      <c r="H301" s="9">
        <f>COUNTIFS('کارهای 1405'!$G:$G,A301,'کارهای 1405'!$L:$L,"&lt;&gt;انجام شده",'کارهای 1405'!$L:$L,"&lt;&gt;لغو شده")</f>
        <v/>
      </c>
      <c r="I301" s="9" t="inlineStr"/>
    </row>
    <row r="302">
      <c r="A302" s="10" t="n">
        <v>46402</v>
      </c>
      <c r="B302" s="9" t="inlineStr">
        <is>
          <t>1405/10/25</t>
        </is>
      </c>
      <c r="C302" s="9" t="inlineStr">
        <is>
          <t>دی</t>
        </is>
      </c>
      <c r="D302" s="9" t="n">
        <v>25</v>
      </c>
      <c r="E302" s="9" t="inlineStr">
        <is>
          <t>زمستان</t>
        </is>
      </c>
      <c r="F302" s="9" t="inlineStr"/>
      <c r="G302" s="9">
        <f>COUNTIF('کارهای 1405'!$G:$G,A302)</f>
        <v/>
      </c>
      <c r="H302" s="9">
        <f>COUNTIFS('کارهای 1405'!$G:$G,A302,'کارهای 1405'!$L:$L,"&lt;&gt;انجام شده",'کارهای 1405'!$L:$L,"&lt;&gt;لغو شده")</f>
        <v/>
      </c>
      <c r="I302" s="9" t="inlineStr"/>
    </row>
    <row r="303">
      <c r="A303" s="10" t="n">
        <v>46403</v>
      </c>
      <c r="B303" s="9" t="inlineStr">
        <is>
          <t>1405/10/26</t>
        </is>
      </c>
      <c r="C303" s="9" t="inlineStr">
        <is>
          <t>دی</t>
        </is>
      </c>
      <c r="D303" s="9" t="n">
        <v>26</v>
      </c>
      <c r="E303" s="9" t="inlineStr">
        <is>
          <t>زمستان</t>
        </is>
      </c>
      <c r="F303" s="9" t="inlineStr"/>
      <c r="G303" s="9">
        <f>COUNTIF('کارهای 1405'!$G:$G,A303)</f>
        <v/>
      </c>
      <c r="H303" s="9">
        <f>COUNTIFS('کارهای 1405'!$G:$G,A303,'کارهای 1405'!$L:$L,"&lt;&gt;انجام شده",'کارهای 1405'!$L:$L,"&lt;&gt;لغو شده")</f>
        <v/>
      </c>
      <c r="I303" s="9" t="inlineStr"/>
    </row>
    <row r="304">
      <c r="A304" s="10" t="n">
        <v>46404</v>
      </c>
      <c r="B304" s="9" t="inlineStr">
        <is>
          <t>1405/10/27</t>
        </is>
      </c>
      <c r="C304" s="9" t="inlineStr">
        <is>
          <t>دی</t>
        </is>
      </c>
      <c r="D304" s="9" t="n">
        <v>27</v>
      </c>
      <c r="E304" s="9" t="inlineStr">
        <is>
          <t>زمستان</t>
        </is>
      </c>
      <c r="F304" s="9" t="inlineStr"/>
      <c r="G304" s="9">
        <f>COUNTIF('کارهای 1405'!$G:$G,A304)</f>
        <v/>
      </c>
      <c r="H304" s="9">
        <f>COUNTIFS('کارهای 1405'!$G:$G,A304,'کارهای 1405'!$L:$L,"&lt;&gt;انجام شده",'کارهای 1405'!$L:$L,"&lt;&gt;لغو شده")</f>
        <v/>
      </c>
      <c r="I304" s="9" t="inlineStr"/>
    </row>
    <row r="305">
      <c r="A305" s="10" t="n">
        <v>46405</v>
      </c>
      <c r="B305" s="9" t="inlineStr">
        <is>
          <t>1405/10/28</t>
        </is>
      </c>
      <c r="C305" s="9" t="inlineStr">
        <is>
          <t>دی</t>
        </is>
      </c>
      <c r="D305" s="9" t="n">
        <v>28</v>
      </c>
      <c r="E305" s="9" t="inlineStr">
        <is>
          <t>زمستان</t>
        </is>
      </c>
      <c r="F305" s="9" t="inlineStr"/>
      <c r="G305" s="9">
        <f>COUNTIF('کارهای 1405'!$G:$G,A305)</f>
        <v/>
      </c>
      <c r="H305" s="9">
        <f>COUNTIFS('کارهای 1405'!$G:$G,A305,'کارهای 1405'!$L:$L,"&lt;&gt;انجام شده",'کارهای 1405'!$L:$L,"&lt;&gt;لغو شده")</f>
        <v/>
      </c>
      <c r="I305" s="9" t="inlineStr"/>
    </row>
    <row r="306">
      <c r="A306" s="10" t="n">
        <v>46406</v>
      </c>
      <c r="B306" s="9" t="inlineStr">
        <is>
          <t>1405/10/29</t>
        </is>
      </c>
      <c r="C306" s="9" t="inlineStr">
        <is>
          <t>دی</t>
        </is>
      </c>
      <c r="D306" s="9" t="n">
        <v>29</v>
      </c>
      <c r="E306" s="9" t="inlineStr">
        <is>
          <t>زمستان</t>
        </is>
      </c>
      <c r="F306" s="9" t="inlineStr"/>
      <c r="G306" s="9">
        <f>COUNTIF('کارهای 1405'!$G:$G,A306)</f>
        <v/>
      </c>
      <c r="H306" s="9">
        <f>COUNTIFS('کارهای 1405'!$G:$G,A306,'کارهای 1405'!$L:$L,"&lt;&gt;انجام شده",'کارهای 1405'!$L:$L,"&lt;&gt;لغو شده")</f>
        <v/>
      </c>
      <c r="I306" s="9" t="inlineStr"/>
    </row>
    <row r="307">
      <c r="A307" s="10" t="n">
        <v>46407</v>
      </c>
      <c r="B307" s="9" t="inlineStr">
        <is>
          <t>1405/10/30</t>
        </is>
      </c>
      <c r="C307" s="9" t="inlineStr">
        <is>
          <t>دی</t>
        </is>
      </c>
      <c r="D307" s="9" t="n">
        <v>30</v>
      </c>
      <c r="E307" s="9" t="inlineStr">
        <is>
          <t>زمستان</t>
        </is>
      </c>
      <c r="F307" s="9" t="inlineStr"/>
      <c r="G307" s="9">
        <f>COUNTIF('کارهای 1405'!$G:$G,A307)</f>
        <v/>
      </c>
      <c r="H307" s="9">
        <f>COUNTIFS('کارهای 1405'!$G:$G,A307,'کارهای 1405'!$L:$L,"&lt;&gt;انجام شده",'کارهای 1405'!$L:$L,"&lt;&gt;لغو شده")</f>
        <v/>
      </c>
      <c r="I307" s="9" t="inlineStr"/>
    </row>
    <row r="308">
      <c r="A308" s="10" t="n">
        <v>46408</v>
      </c>
      <c r="B308" s="9" t="inlineStr">
        <is>
          <t>1405/11/01</t>
        </is>
      </c>
      <c r="C308" s="9" t="inlineStr">
        <is>
          <t>بهمن</t>
        </is>
      </c>
      <c r="D308" s="9" t="n">
        <v>1</v>
      </c>
      <c r="E308" s="9" t="inlineStr">
        <is>
          <t>زمستان</t>
        </is>
      </c>
      <c r="F308" s="9" t="inlineStr"/>
      <c r="G308" s="9">
        <f>COUNTIF('کارهای 1405'!$G:$G,A308)</f>
        <v/>
      </c>
      <c r="H308" s="9">
        <f>COUNTIFS('کارهای 1405'!$G:$G,A308,'کارهای 1405'!$L:$L,"&lt;&gt;انجام شده",'کارهای 1405'!$L:$L,"&lt;&gt;لغو شده")</f>
        <v/>
      </c>
      <c r="I308" s="9" t="inlineStr"/>
    </row>
    <row r="309">
      <c r="A309" s="10" t="n">
        <v>46409</v>
      </c>
      <c r="B309" s="9" t="inlineStr">
        <is>
          <t>1405/11/02</t>
        </is>
      </c>
      <c r="C309" s="9" t="inlineStr">
        <is>
          <t>بهمن</t>
        </is>
      </c>
      <c r="D309" s="9" t="n">
        <v>2</v>
      </c>
      <c r="E309" s="9" t="inlineStr">
        <is>
          <t>زمستان</t>
        </is>
      </c>
      <c r="F309" s="9" t="inlineStr"/>
      <c r="G309" s="9">
        <f>COUNTIF('کارهای 1405'!$G:$G,A309)</f>
        <v/>
      </c>
      <c r="H309" s="9">
        <f>COUNTIFS('کارهای 1405'!$G:$G,A309,'کارهای 1405'!$L:$L,"&lt;&gt;انجام شده",'کارهای 1405'!$L:$L,"&lt;&gt;لغو شده")</f>
        <v/>
      </c>
      <c r="I309" s="9" t="inlineStr"/>
    </row>
    <row r="310">
      <c r="A310" s="10" t="n">
        <v>46410</v>
      </c>
      <c r="B310" s="9" t="inlineStr">
        <is>
          <t>1405/11/03</t>
        </is>
      </c>
      <c r="C310" s="9" t="inlineStr">
        <is>
          <t>بهمن</t>
        </is>
      </c>
      <c r="D310" s="9" t="n">
        <v>3</v>
      </c>
      <c r="E310" s="9" t="inlineStr">
        <is>
          <t>زمستان</t>
        </is>
      </c>
      <c r="F310" s="9" t="inlineStr"/>
      <c r="G310" s="9">
        <f>COUNTIF('کارهای 1405'!$G:$G,A310)</f>
        <v/>
      </c>
      <c r="H310" s="9">
        <f>COUNTIFS('کارهای 1405'!$G:$G,A310,'کارهای 1405'!$L:$L,"&lt;&gt;انجام شده",'کارهای 1405'!$L:$L,"&lt;&gt;لغو شده")</f>
        <v/>
      </c>
      <c r="I310" s="9" t="inlineStr"/>
    </row>
    <row r="311">
      <c r="A311" s="10" t="n">
        <v>46411</v>
      </c>
      <c r="B311" s="9" t="inlineStr">
        <is>
          <t>1405/11/04</t>
        </is>
      </c>
      <c r="C311" s="9" t="inlineStr">
        <is>
          <t>بهمن</t>
        </is>
      </c>
      <c r="D311" s="9" t="n">
        <v>4</v>
      </c>
      <c r="E311" s="9" t="inlineStr">
        <is>
          <t>زمستان</t>
        </is>
      </c>
      <c r="F311" s="9" t="inlineStr"/>
      <c r="G311" s="9">
        <f>COUNTIF('کارهای 1405'!$G:$G,A311)</f>
        <v/>
      </c>
      <c r="H311" s="9">
        <f>COUNTIFS('کارهای 1405'!$G:$G,A311,'کارهای 1405'!$L:$L,"&lt;&gt;انجام شده",'کارهای 1405'!$L:$L,"&lt;&gt;لغو شده")</f>
        <v/>
      </c>
      <c r="I311" s="9" t="inlineStr"/>
    </row>
    <row r="312">
      <c r="A312" s="10" t="n">
        <v>46412</v>
      </c>
      <c r="B312" s="9" t="inlineStr">
        <is>
          <t>1405/11/05</t>
        </is>
      </c>
      <c r="C312" s="9" t="inlineStr">
        <is>
          <t>بهمن</t>
        </is>
      </c>
      <c r="D312" s="9" t="n">
        <v>5</v>
      </c>
      <c r="E312" s="9" t="inlineStr">
        <is>
          <t>زمستان</t>
        </is>
      </c>
      <c r="F312" s="9" t="inlineStr"/>
      <c r="G312" s="9">
        <f>COUNTIF('کارهای 1405'!$G:$G,A312)</f>
        <v/>
      </c>
      <c r="H312" s="9">
        <f>COUNTIFS('کارهای 1405'!$G:$G,A312,'کارهای 1405'!$L:$L,"&lt;&gt;انجام شده",'کارهای 1405'!$L:$L,"&lt;&gt;لغو شده")</f>
        <v/>
      </c>
      <c r="I312" s="9" t="inlineStr"/>
    </row>
    <row r="313">
      <c r="A313" s="10" t="n">
        <v>46413</v>
      </c>
      <c r="B313" s="9" t="inlineStr">
        <is>
          <t>1405/11/06</t>
        </is>
      </c>
      <c r="C313" s="9" t="inlineStr">
        <is>
          <t>بهمن</t>
        </is>
      </c>
      <c r="D313" s="9" t="n">
        <v>6</v>
      </c>
      <c r="E313" s="9" t="inlineStr">
        <is>
          <t>زمستان</t>
        </is>
      </c>
      <c r="F313" s="9" t="inlineStr"/>
      <c r="G313" s="9">
        <f>COUNTIF('کارهای 1405'!$G:$G,A313)</f>
        <v/>
      </c>
      <c r="H313" s="9">
        <f>COUNTIFS('کارهای 1405'!$G:$G,A313,'کارهای 1405'!$L:$L,"&lt;&gt;انجام شده",'کارهای 1405'!$L:$L,"&lt;&gt;لغو شده")</f>
        <v/>
      </c>
      <c r="I313" s="9" t="inlineStr"/>
    </row>
    <row r="314">
      <c r="A314" s="10" t="n">
        <v>46414</v>
      </c>
      <c r="B314" s="9" t="inlineStr">
        <is>
          <t>1405/11/07</t>
        </is>
      </c>
      <c r="C314" s="9" t="inlineStr">
        <is>
          <t>بهمن</t>
        </is>
      </c>
      <c r="D314" s="9" t="n">
        <v>7</v>
      </c>
      <c r="E314" s="9" t="inlineStr">
        <is>
          <t>زمستان</t>
        </is>
      </c>
      <c r="F314" s="9" t="inlineStr"/>
      <c r="G314" s="9">
        <f>COUNTIF('کارهای 1405'!$G:$G,A314)</f>
        <v/>
      </c>
      <c r="H314" s="9">
        <f>COUNTIFS('کارهای 1405'!$G:$G,A314,'کارهای 1405'!$L:$L,"&lt;&gt;انجام شده",'کارهای 1405'!$L:$L,"&lt;&gt;لغو شده")</f>
        <v/>
      </c>
      <c r="I314" s="9" t="inlineStr"/>
    </row>
    <row r="315">
      <c r="A315" s="10" t="n">
        <v>46415</v>
      </c>
      <c r="B315" s="9" t="inlineStr">
        <is>
          <t>1405/11/08</t>
        </is>
      </c>
      <c r="C315" s="9" t="inlineStr">
        <is>
          <t>بهمن</t>
        </is>
      </c>
      <c r="D315" s="9" t="n">
        <v>8</v>
      </c>
      <c r="E315" s="9" t="inlineStr">
        <is>
          <t>زمستان</t>
        </is>
      </c>
      <c r="F315" s="9" t="inlineStr"/>
      <c r="G315" s="9">
        <f>COUNTIF('کارهای 1405'!$G:$G,A315)</f>
        <v/>
      </c>
      <c r="H315" s="9">
        <f>COUNTIFS('کارهای 1405'!$G:$G,A315,'کارهای 1405'!$L:$L,"&lt;&gt;انجام شده",'کارهای 1405'!$L:$L,"&lt;&gt;لغو شده")</f>
        <v/>
      </c>
      <c r="I315" s="9" t="inlineStr"/>
    </row>
    <row r="316">
      <c r="A316" s="10" t="n">
        <v>46416</v>
      </c>
      <c r="B316" s="9" t="inlineStr">
        <is>
          <t>1405/11/09</t>
        </is>
      </c>
      <c r="C316" s="9" t="inlineStr">
        <is>
          <t>بهمن</t>
        </is>
      </c>
      <c r="D316" s="9" t="n">
        <v>9</v>
      </c>
      <c r="E316" s="9" t="inlineStr">
        <is>
          <t>زمستان</t>
        </is>
      </c>
      <c r="F316" s="9" t="inlineStr"/>
      <c r="G316" s="9">
        <f>COUNTIF('کارهای 1405'!$G:$G,A316)</f>
        <v/>
      </c>
      <c r="H316" s="9">
        <f>COUNTIFS('کارهای 1405'!$G:$G,A316,'کارهای 1405'!$L:$L,"&lt;&gt;انجام شده",'کارهای 1405'!$L:$L,"&lt;&gt;لغو شده")</f>
        <v/>
      </c>
      <c r="I316" s="9" t="inlineStr"/>
    </row>
    <row r="317">
      <c r="A317" s="10" t="n">
        <v>46417</v>
      </c>
      <c r="B317" s="9" t="inlineStr">
        <is>
          <t>1405/11/10</t>
        </is>
      </c>
      <c r="C317" s="9" t="inlineStr">
        <is>
          <t>بهمن</t>
        </is>
      </c>
      <c r="D317" s="9" t="n">
        <v>10</v>
      </c>
      <c r="E317" s="9" t="inlineStr">
        <is>
          <t>زمستان</t>
        </is>
      </c>
      <c r="F317" s="9" t="inlineStr"/>
      <c r="G317" s="9">
        <f>COUNTIF('کارهای 1405'!$G:$G,A317)</f>
        <v/>
      </c>
      <c r="H317" s="9">
        <f>COUNTIFS('کارهای 1405'!$G:$G,A317,'کارهای 1405'!$L:$L,"&lt;&gt;انجام شده",'کارهای 1405'!$L:$L,"&lt;&gt;لغو شده")</f>
        <v/>
      </c>
      <c r="I317" s="9" t="inlineStr"/>
    </row>
    <row r="318">
      <c r="A318" s="10" t="n">
        <v>46418</v>
      </c>
      <c r="B318" s="9" t="inlineStr">
        <is>
          <t>1405/11/11</t>
        </is>
      </c>
      <c r="C318" s="9" t="inlineStr">
        <is>
          <t>بهمن</t>
        </is>
      </c>
      <c r="D318" s="9" t="n">
        <v>11</v>
      </c>
      <c r="E318" s="9" t="inlineStr">
        <is>
          <t>زمستان</t>
        </is>
      </c>
      <c r="F318" s="9" t="inlineStr"/>
      <c r="G318" s="9">
        <f>COUNTIF('کارهای 1405'!$G:$G,A318)</f>
        <v/>
      </c>
      <c r="H318" s="9">
        <f>COUNTIFS('کارهای 1405'!$G:$G,A318,'کارهای 1405'!$L:$L,"&lt;&gt;انجام شده",'کارهای 1405'!$L:$L,"&lt;&gt;لغو شده")</f>
        <v/>
      </c>
      <c r="I318" s="9" t="inlineStr"/>
    </row>
    <row r="319">
      <c r="A319" s="10" t="n">
        <v>46419</v>
      </c>
      <c r="B319" s="9" t="inlineStr">
        <is>
          <t>1405/11/12</t>
        </is>
      </c>
      <c r="C319" s="9" t="inlineStr">
        <is>
          <t>بهمن</t>
        </is>
      </c>
      <c r="D319" s="9" t="n">
        <v>12</v>
      </c>
      <c r="E319" s="9" t="inlineStr">
        <is>
          <t>زمستان</t>
        </is>
      </c>
      <c r="F319" s="9" t="inlineStr"/>
      <c r="G319" s="9">
        <f>COUNTIF('کارهای 1405'!$G:$G,A319)</f>
        <v/>
      </c>
      <c r="H319" s="9">
        <f>COUNTIFS('کارهای 1405'!$G:$G,A319,'کارهای 1405'!$L:$L,"&lt;&gt;انجام شده",'کارهای 1405'!$L:$L,"&lt;&gt;لغو شده")</f>
        <v/>
      </c>
      <c r="I319" s="9" t="inlineStr"/>
    </row>
    <row r="320">
      <c r="A320" s="10" t="n">
        <v>46420</v>
      </c>
      <c r="B320" s="9" t="inlineStr">
        <is>
          <t>1405/11/13</t>
        </is>
      </c>
      <c r="C320" s="9" t="inlineStr">
        <is>
          <t>بهمن</t>
        </is>
      </c>
      <c r="D320" s="9" t="n">
        <v>13</v>
      </c>
      <c r="E320" s="9" t="inlineStr">
        <is>
          <t>زمستان</t>
        </is>
      </c>
      <c r="F320" s="9" t="inlineStr"/>
      <c r="G320" s="9">
        <f>COUNTIF('کارهای 1405'!$G:$G,A320)</f>
        <v/>
      </c>
      <c r="H320" s="9">
        <f>COUNTIFS('کارهای 1405'!$G:$G,A320,'کارهای 1405'!$L:$L,"&lt;&gt;انجام شده",'کارهای 1405'!$L:$L,"&lt;&gt;لغو شده")</f>
        <v/>
      </c>
      <c r="I320" s="9" t="inlineStr"/>
    </row>
    <row r="321">
      <c r="A321" s="10" t="n">
        <v>46421</v>
      </c>
      <c r="B321" s="9" t="inlineStr">
        <is>
          <t>1405/11/14</t>
        </is>
      </c>
      <c r="C321" s="9" t="inlineStr">
        <is>
          <t>بهمن</t>
        </is>
      </c>
      <c r="D321" s="9" t="n">
        <v>14</v>
      </c>
      <c r="E321" s="9" t="inlineStr">
        <is>
          <t>زمستان</t>
        </is>
      </c>
      <c r="F321" s="9" t="inlineStr"/>
      <c r="G321" s="9">
        <f>COUNTIF('کارهای 1405'!$G:$G,A321)</f>
        <v/>
      </c>
      <c r="H321" s="9">
        <f>COUNTIFS('کارهای 1405'!$G:$G,A321,'کارهای 1405'!$L:$L,"&lt;&gt;انجام شده",'کارهای 1405'!$L:$L,"&lt;&gt;لغو شده")</f>
        <v/>
      </c>
      <c r="I321" s="9" t="inlineStr"/>
    </row>
    <row r="322">
      <c r="A322" s="10" t="n">
        <v>46422</v>
      </c>
      <c r="B322" s="9" t="inlineStr">
        <is>
          <t>1405/11/15</t>
        </is>
      </c>
      <c r="C322" s="9" t="inlineStr">
        <is>
          <t>بهمن</t>
        </is>
      </c>
      <c r="D322" s="9" t="n">
        <v>15</v>
      </c>
      <c r="E322" s="9" t="inlineStr">
        <is>
          <t>زمستان</t>
        </is>
      </c>
      <c r="F322" s="9" t="inlineStr"/>
      <c r="G322" s="9">
        <f>COUNTIF('کارهای 1405'!$G:$G,A322)</f>
        <v/>
      </c>
      <c r="H322" s="9">
        <f>COUNTIFS('کارهای 1405'!$G:$G,A322,'کارهای 1405'!$L:$L,"&lt;&gt;انجام شده",'کارهای 1405'!$L:$L,"&lt;&gt;لغو شده")</f>
        <v/>
      </c>
      <c r="I322" s="9" t="inlineStr"/>
    </row>
    <row r="323">
      <c r="A323" s="10" t="n">
        <v>46423</v>
      </c>
      <c r="B323" s="9" t="inlineStr">
        <is>
          <t>1405/11/16</t>
        </is>
      </c>
      <c r="C323" s="9" t="inlineStr">
        <is>
          <t>بهمن</t>
        </is>
      </c>
      <c r="D323" s="9" t="n">
        <v>16</v>
      </c>
      <c r="E323" s="9" t="inlineStr">
        <is>
          <t>زمستان</t>
        </is>
      </c>
      <c r="F323" s="9" t="inlineStr"/>
      <c r="G323" s="9">
        <f>COUNTIF('کارهای 1405'!$G:$G,A323)</f>
        <v/>
      </c>
      <c r="H323" s="9">
        <f>COUNTIFS('کارهای 1405'!$G:$G,A323,'کارهای 1405'!$L:$L,"&lt;&gt;انجام شده",'کارهای 1405'!$L:$L,"&lt;&gt;لغو شده")</f>
        <v/>
      </c>
      <c r="I323" s="9" t="inlineStr"/>
    </row>
    <row r="324">
      <c r="A324" s="10" t="n">
        <v>46424</v>
      </c>
      <c r="B324" s="9" t="inlineStr">
        <is>
          <t>1405/11/17</t>
        </is>
      </c>
      <c r="C324" s="9" t="inlineStr">
        <is>
          <t>بهمن</t>
        </is>
      </c>
      <c r="D324" s="9" t="n">
        <v>17</v>
      </c>
      <c r="E324" s="9" t="inlineStr">
        <is>
          <t>زمستان</t>
        </is>
      </c>
      <c r="F324" s="9" t="inlineStr"/>
      <c r="G324" s="9">
        <f>COUNTIF('کارهای 1405'!$G:$G,A324)</f>
        <v/>
      </c>
      <c r="H324" s="9">
        <f>COUNTIFS('کارهای 1405'!$G:$G,A324,'کارهای 1405'!$L:$L,"&lt;&gt;انجام شده",'کارهای 1405'!$L:$L,"&lt;&gt;لغو شده")</f>
        <v/>
      </c>
      <c r="I324" s="9" t="inlineStr"/>
    </row>
    <row r="325">
      <c r="A325" s="10" t="n">
        <v>46425</v>
      </c>
      <c r="B325" s="9" t="inlineStr">
        <is>
          <t>1405/11/18</t>
        </is>
      </c>
      <c r="C325" s="9" t="inlineStr">
        <is>
          <t>بهمن</t>
        </is>
      </c>
      <c r="D325" s="9" t="n">
        <v>18</v>
      </c>
      <c r="E325" s="9" t="inlineStr">
        <is>
          <t>زمستان</t>
        </is>
      </c>
      <c r="F325" s="9" t="inlineStr"/>
      <c r="G325" s="9">
        <f>COUNTIF('کارهای 1405'!$G:$G,A325)</f>
        <v/>
      </c>
      <c r="H325" s="9">
        <f>COUNTIFS('کارهای 1405'!$G:$G,A325,'کارهای 1405'!$L:$L,"&lt;&gt;انجام شده",'کارهای 1405'!$L:$L,"&lt;&gt;لغو شده")</f>
        <v/>
      </c>
      <c r="I325" s="9" t="inlineStr"/>
    </row>
    <row r="326">
      <c r="A326" s="10" t="n">
        <v>46426</v>
      </c>
      <c r="B326" s="9" t="inlineStr">
        <is>
          <t>1405/11/19</t>
        </is>
      </c>
      <c r="C326" s="9" t="inlineStr">
        <is>
          <t>بهمن</t>
        </is>
      </c>
      <c r="D326" s="9" t="n">
        <v>19</v>
      </c>
      <c r="E326" s="9" t="inlineStr">
        <is>
          <t>زمستان</t>
        </is>
      </c>
      <c r="F326" s="9" t="inlineStr"/>
      <c r="G326" s="9">
        <f>COUNTIF('کارهای 1405'!$G:$G,A326)</f>
        <v/>
      </c>
      <c r="H326" s="9">
        <f>COUNTIFS('کارهای 1405'!$G:$G,A326,'کارهای 1405'!$L:$L,"&lt;&gt;انجام شده",'کارهای 1405'!$L:$L,"&lt;&gt;لغو شده")</f>
        <v/>
      </c>
      <c r="I326" s="9" t="inlineStr"/>
    </row>
    <row r="327">
      <c r="A327" s="10" t="n">
        <v>46427</v>
      </c>
      <c r="B327" s="9" t="inlineStr">
        <is>
          <t>1405/11/20</t>
        </is>
      </c>
      <c r="C327" s="9" t="inlineStr">
        <is>
          <t>بهمن</t>
        </is>
      </c>
      <c r="D327" s="9" t="n">
        <v>20</v>
      </c>
      <c r="E327" s="9" t="inlineStr">
        <is>
          <t>زمستان</t>
        </is>
      </c>
      <c r="F327" s="9" t="inlineStr"/>
      <c r="G327" s="9">
        <f>COUNTIF('کارهای 1405'!$G:$G,A327)</f>
        <v/>
      </c>
      <c r="H327" s="9">
        <f>COUNTIFS('کارهای 1405'!$G:$G,A327,'کارهای 1405'!$L:$L,"&lt;&gt;انجام شده",'کارهای 1405'!$L:$L,"&lt;&gt;لغو شده")</f>
        <v/>
      </c>
      <c r="I327" s="9" t="inlineStr"/>
    </row>
    <row r="328">
      <c r="A328" s="10" t="n">
        <v>46428</v>
      </c>
      <c r="B328" s="9" t="inlineStr">
        <is>
          <t>1405/11/21</t>
        </is>
      </c>
      <c r="C328" s="9" t="inlineStr">
        <is>
          <t>بهمن</t>
        </is>
      </c>
      <c r="D328" s="9" t="n">
        <v>21</v>
      </c>
      <c r="E328" s="9" t="inlineStr">
        <is>
          <t>زمستان</t>
        </is>
      </c>
      <c r="F328" s="9" t="inlineStr"/>
      <c r="G328" s="9">
        <f>COUNTIF('کارهای 1405'!$G:$G,A328)</f>
        <v/>
      </c>
      <c r="H328" s="9">
        <f>COUNTIFS('کارهای 1405'!$G:$G,A328,'کارهای 1405'!$L:$L,"&lt;&gt;انجام شده",'کارهای 1405'!$L:$L,"&lt;&gt;لغو شده")</f>
        <v/>
      </c>
      <c r="I328" s="9" t="inlineStr"/>
    </row>
    <row r="329">
      <c r="A329" s="10" t="n">
        <v>46429</v>
      </c>
      <c r="B329" s="9" t="inlineStr">
        <is>
          <t>1405/11/22</t>
        </is>
      </c>
      <c r="C329" s="9" t="inlineStr">
        <is>
          <t>بهمن</t>
        </is>
      </c>
      <c r="D329" s="9" t="n">
        <v>22</v>
      </c>
      <c r="E329" s="9" t="inlineStr">
        <is>
          <t>زمستان</t>
        </is>
      </c>
      <c r="F329" s="9" t="inlineStr"/>
      <c r="G329" s="9">
        <f>COUNTIF('کارهای 1405'!$G:$G,A329)</f>
        <v/>
      </c>
      <c r="H329" s="9">
        <f>COUNTIFS('کارهای 1405'!$G:$G,A329,'کارهای 1405'!$L:$L,"&lt;&gt;انجام شده",'کارهای 1405'!$L:$L,"&lt;&gt;لغو شده")</f>
        <v/>
      </c>
      <c r="I329" s="9" t="inlineStr"/>
    </row>
    <row r="330">
      <c r="A330" s="10" t="n">
        <v>46430</v>
      </c>
      <c r="B330" s="9" t="inlineStr">
        <is>
          <t>1405/11/23</t>
        </is>
      </c>
      <c r="C330" s="9" t="inlineStr">
        <is>
          <t>بهمن</t>
        </is>
      </c>
      <c r="D330" s="9" t="n">
        <v>23</v>
      </c>
      <c r="E330" s="9" t="inlineStr">
        <is>
          <t>زمستان</t>
        </is>
      </c>
      <c r="F330" s="9" t="inlineStr"/>
      <c r="G330" s="9">
        <f>COUNTIF('کارهای 1405'!$G:$G,A330)</f>
        <v/>
      </c>
      <c r="H330" s="9">
        <f>COUNTIFS('کارهای 1405'!$G:$G,A330,'کارهای 1405'!$L:$L,"&lt;&gt;انجام شده",'کارهای 1405'!$L:$L,"&lt;&gt;لغو شده")</f>
        <v/>
      </c>
      <c r="I330" s="9" t="inlineStr"/>
    </row>
    <row r="331">
      <c r="A331" s="10" t="n">
        <v>46431</v>
      </c>
      <c r="B331" s="9" t="inlineStr">
        <is>
          <t>1405/11/24</t>
        </is>
      </c>
      <c r="C331" s="9" t="inlineStr">
        <is>
          <t>بهمن</t>
        </is>
      </c>
      <c r="D331" s="9" t="n">
        <v>24</v>
      </c>
      <c r="E331" s="9" t="inlineStr">
        <is>
          <t>زمستان</t>
        </is>
      </c>
      <c r="F331" s="9" t="inlineStr"/>
      <c r="G331" s="9">
        <f>COUNTIF('کارهای 1405'!$G:$G,A331)</f>
        <v/>
      </c>
      <c r="H331" s="9">
        <f>COUNTIFS('کارهای 1405'!$G:$G,A331,'کارهای 1405'!$L:$L,"&lt;&gt;انجام شده",'کارهای 1405'!$L:$L,"&lt;&gt;لغو شده")</f>
        <v/>
      </c>
      <c r="I331" s="9" t="inlineStr"/>
    </row>
    <row r="332">
      <c r="A332" s="10" t="n">
        <v>46432</v>
      </c>
      <c r="B332" s="9" t="inlineStr">
        <is>
          <t>1405/11/25</t>
        </is>
      </c>
      <c r="C332" s="9" t="inlineStr">
        <is>
          <t>بهمن</t>
        </is>
      </c>
      <c r="D332" s="9" t="n">
        <v>25</v>
      </c>
      <c r="E332" s="9" t="inlineStr">
        <is>
          <t>زمستان</t>
        </is>
      </c>
      <c r="F332" s="9" t="inlineStr"/>
      <c r="G332" s="9">
        <f>COUNTIF('کارهای 1405'!$G:$G,A332)</f>
        <v/>
      </c>
      <c r="H332" s="9">
        <f>COUNTIFS('کارهای 1405'!$G:$G,A332,'کارهای 1405'!$L:$L,"&lt;&gt;انجام شده",'کارهای 1405'!$L:$L,"&lt;&gt;لغو شده")</f>
        <v/>
      </c>
      <c r="I332" s="9" t="inlineStr"/>
    </row>
    <row r="333">
      <c r="A333" s="10" t="n">
        <v>46433</v>
      </c>
      <c r="B333" s="9" t="inlineStr">
        <is>
          <t>1405/11/26</t>
        </is>
      </c>
      <c r="C333" s="9" t="inlineStr">
        <is>
          <t>بهمن</t>
        </is>
      </c>
      <c r="D333" s="9" t="n">
        <v>26</v>
      </c>
      <c r="E333" s="9" t="inlineStr">
        <is>
          <t>زمستان</t>
        </is>
      </c>
      <c r="F333" s="9" t="inlineStr"/>
      <c r="G333" s="9">
        <f>COUNTIF('کارهای 1405'!$G:$G,A333)</f>
        <v/>
      </c>
      <c r="H333" s="9">
        <f>COUNTIFS('کارهای 1405'!$G:$G,A333,'کارهای 1405'!$L:$L,"&lt;&gt;انجام شده",'کارهای 1405'!$L:$L,"&lt;&gt;لغو شده")</f>
        <v/>
      </c>
      <c r="I333" s="9" t="inlineStr"/>
    </row>
    <row r="334">
      <c r="A334" s="10" t="n">
        <v>46434</v>
      </c>
      <c r="B334" s="9" t="inlineStr">
        <is>
          <t>1405/11/27</t>
        </is>
      </c>
      <c r="C334" s="9" t="inlineStr">
        <is>
          <t>بهمن</t>
        </is>
      </c>
      <c r="D334" s="9" t="n">
        <v>27</v>
      </c>
      <c r="E334" s="9" t="inlineStr">
        <is>
          <t>زمستان</t>
        </is>
      </c>
      <c r="F334" s="9" t="inlineStr"/>
      <c r="G334" s="9">
        <f>COUNTIF('کارهای 1405'!$G:$G,A334)</f>
        <v/>
      </c>
      <c r="H334" s="9">
        <f>COUNTIFS('کارهای 1405'!$G:$G,A334,'کارهای 1405'!$L:$L,"&lt;&gt;انجام شده",'کارهای 1405'!$L:$L,"&lt;&gt;لغو شده")</f>
        <v/>
      </c>
      <c r="I334" s="9" t="inlineStr"/>
    </row>
    <row r="335">
      <c r="A335" s="10" t="n">
        <v>46435</v>
      </c>
      <c r="B335" s="9" t="inlineStr">
        <is>
          <t>1405/11/28</t>
        </is>
      </c>
      <c r="C335" s="9" t="inlineStr">
        <is>
          <t>بهمن</t>
        </is>
      </c>
      <c r="D335" s="9" t="n">
        <v>28</v>
      </c>
      <c r="E335" s="9" t="inlineStr">
        <is>
          <t>زمستان</t>
        </is>
      </c>
      <c r="F335" s="9" t="inlineStr"/>
      <c r="G335" s="9">
        <f>COUNTIF('کارهای 1405'!$G:$G,A335)</f>
        <v/>
      </c>
      <c r="H335" s="9">
        <f>COUNTIFS('کارهای 1405'!$G:$G,A335,'کارهای 1405'!$L:$L,"&lt;&gt;انجام شده",'کارهای 1405'!$L:$L,"&lt;&gt;لغو شده")</f>
        <v/>
      </c>
      <c r="I335" s="9" t="inlineStr"/>
    </row>
    <row r="336">
      <c r="A336" s="10" t="n">
        <v>46436</v>
      </c>
      <c r="B336" s="9" t="inlineStr">
        <is>
          <t>1405/11/29</t>
        </is>
      </c>
      <c r="C336" s="9" t="inlineStr">
        <is>
          <t>بهمن</t>
        </is>
      </c>
      <c r="D336" s="9" t="n">
        <v>29</v>
      </c>
      <c r="E336" s="9" t="inlineStr">
        <is>
          <t>زمستان</t>
        </is>
      </c>
      <c r="F336" s="9" t="inlineStr"/>
      <c r="G336" s="9">
        <f>COUNTIF('کارهای 1405'!$G:$G,A336)</f>
        <v/>
      </c>
      <c r="H336" s="9">
        <f>COUNTIFS('کارهای 1405'!$G:$G,A336,'کارهای 1405'!$L:$L,"&lt;&gt;انجام شده",'کارهای 1405'!$L:$L,"&lt;&gt;لغو شده")</f>
        <v/>
      </c>
      <c r="I336" s="9" t="inlineStr"/>
    </row>
    <row r="337">
      <c r="A337" s="10" t="n">
        <v>46437</v>
      </c>
      <c r="B337" s="9" t="inlineStr">
        <is>
          <t>1405/11/30</t>
        </is>
      </c>
      <c r="C337" s="9" t="inlineStr">
        <is>
          <t>بهمن</t>
        </is>
      </c>
      <c r="D337" s="9" t="n">
        <v>30</v>
      </c>
      <c r="E337" s="9" t="inlineStr">
        <is>
          <t>زمستان</t>
        </is>
      </c>
      <c r="F337" s="9" t="inlineStr"/>
      <c r="G337" s="9">
        <f>COUNTIF('کارهای 1405'!$G:$G,A337)</f>
        <v/>
      </c>
      <c r="H337" s="9">
        <f>COUNTIFS('کارهای 1405'!$G:$G,A337,'کارهای 1405'!$L:$L,"&lt;&gt;انجام شده",'کارهای 1405'!$L:$L,"&lt;&gt;لغو شده")</f>
        <v/>
      </c>
      <c r="I337" s="9" t="inlineStr"/>
    </row>
    <row r="338">
      <c r="A338" s="10" t="n">
        <v>46438</v>
      </c>
      <c r="B338" s="9" t="inlineStr">
        <is>
          <t>1405/12/01</t>
        </is>
      </c>
      <c r="C338" s="9" t="inlineStr">
        <is>
          <t>اسفند</t>
        </is>
      </c>
      <c r="D338" s="9" t="n">
        <v>1</v>
      </c>
      <c r="E338" s="9" t="inlineStr">
        <is>
          <t>زمستان</t>
        </is>
      </c>
      <c r="F338" s="9" t="inlineStr"/>
      <c r="G338" s="9">
        <f>COUNTIF('کارهای 1405'!$G:$G,A338)</f>
        <v/>
      </c>
      <c r="H338" s="9">
        <f>COUNTIFS('کارهای 1405'!$G:$G,A338,'کارهای 1405'!$L:$L,"&lt;&gt;انجام شده",'کارهای 1405'!$L:$L,"&lt;&gt;لغو شده")</f>
        <v/>
      </c>
      <c r="I338" s="9" t="inlineStr"/>
    </row>
    <row r="339">
      <c r="A339" s="10" t="n">
        <v>46439</v>
      </c>
      <c r="B339" s="9" t="inlineStr">
        <is>
          <t>1405/12/02</t>
        </is>
      </c>
      <c r="C339" s="9" t="inlineStr">
        <is>
          <t>اسفند</t>
        </is>
      </c>
      <c r="D339" s="9" t="n">
        <v>2</v>
      </c>
      <c r="E339" s="9" t="inlineStr">
        <is>
          <t>زمستان</t>
        </is>
      </c>
      <c r="F339" s="9" t="inlineStr"/>
      <c r="G339" s="9">
        <f>COUNTIF('کارهای 1405'!$G:$G,A339)</f>
        <v/>
      </c>
      <c r="H339" s="9">
        <f>COUNTIFS('کارهای 1405'!$G:$G,A339,'کارهای 1405'!$L:$L,"&lt;&gt;انجام شده",'کارهای 1405'!$L:$L,"&lt;&gt;لغو شده")</f>
        <v/>
      </c>
      <c r="I339" s="9" t="inlineStr"/>
    </row>
    <row r="340">
      <c r="A340" s="10" t="n">
        <v>46440</v>
      </c>
      <c r="B340" s="9" t="inlineStr">
        <is>
          <t>1405/12/03</t>
        </is>
      </c>
      <c r="C340" s="9" t="inlineStr">
        <is>
          <t>اسفند</t>
        </is>
      </c>
      <c r="D340" s="9" t="n">
        <v>3</v>
      </c>
      <c r="E340" s="9" t="inlineStr">
        <is>
          <t>زمستان</t>
        </is>
      </c>
      <c r="F340" s="9" t="inlineStr"/>
      <c r="G340" s="9">
        <f>COUNTIF('کارهای 1405'!$G:$G,A340)</f>
        <v/>
      </c>
      <c r="H340" s="9">
        <f>COUNTIFS('کارهای 1405'!$G:$G,A340,'کارهای 1405'!$L:$L,"&lt;&gt;انجام شده",'کارهای 1405'!$L:$L,"&lt;&gt;لغو شده")</f>
        <v/>
      </c>
      <c r="I340" s="9" t="inlineStr"/>
    </row>
    <row r="341">
      <c r="A341" s="10" t="n">
        <v>46441</v>
      </c>
      <c r="B341" s="9" t="inlineStr">
        <is>
          <t>1405/12/04</t>
        </is>
      </c>
      <c r="C341" s="9" t="inlineStr">
        <is>
          <t>اسفند</t>
        </is>
      </c>
      <c r="D341" s="9" t="n">
        <v>4</v>
      </c>
      <c r="E341" s="9" t="inlineStr">
        <is>
          <t>زمستان</t>
        </is>
      </c>
      <c r="F341" s="9" t="inlineStr"/>
      <c r="G341" s="9">
        <f>COUNTIF('کارهای 1405'!$G:$G,A341)</f>
        <v/>
      </c>
      <c r="H341" s="9">
        <f>COUNTIFS('کارهای 1405'!$G:$G,A341,'کارهای 1405'!$L:$L,"&lt;&gt;انجام شده",'کارهای 1405'!$L:$L,"&lt;&gt;لغو شده")</f>
        <v/>
      </c>
      <c r="I341" s="9" t="inlineStr"/>
    </row>
    <row r="342">
      <c r="A342" s="10" t="n">
        <v>46442</v>
      </c>
      <c r="B342" s="9" t="inlineStr">
        <is>
          <t>1405/12/05</t>
        </is>
      </c>
      <c r="C342" s="9" t="inlineStr">
        <is>
          <t>اسفند</t>
        </is>
      </c>
      <c r="D342" s="9" t="n">
        <v>5</v>
      </c>
      <c r="E342" s="9" t="inlineStr">
        <is>
          <t>زمستان</t>
        </is>
      </c>
      <c r="F342" s="9" t="inlineStr"/>
      <c r="G342" s="9">
        <f>COUNTIF('کارهای 1405'!$G:$G,A342)</f>
        <v/>
      </c>
      <c r="H342" s="9">
        <f>COUNTIFS('کارهای 1405'!$G:$G,A342,'کارهای 1405'!$L:$L,"&lt;&gt;انجام شده",'کارهای 1405'!$L:$L,"&lt;&gt;لغو شده")</f>
        <v/>
      </c>
      <c r="I342" s="9" t="inlineStr"/>
    </row>
    <row r="343">
      <c r="A343" s="10" t="n">
        <v>46443</v>
      </c>
      <c r="B343" s="9" t="inlineStr">
        <is>
          <t>1405/12/06</t>
        </is>
      </c>
      <c r="C343" s="9" t="inlineStr">
        <is>
          <t>اسفند</t>
        </is>
      </c>
      <c r="D343" s="9" t="n">
        <v>6</v>
      </c>
      <c r="E343" s="9" t="inlineStr">
        <is>
          <t>زمستان</t>
        </is>
      </c>
      <c r="F343" s="9" t="inlineStr"/>
      <c r="G343" s="9">
        <f>COUNTIF('کارهای 1405'!$G:$G,A343)</f>
        <v/>
      </c>
      <c r="H343" s="9">
        <f>COUNTIFS('کارهای 1405'!$G:$G,A343,'کارهای 1405'!$L:$L,"&lt;&gt;انجام شده",'کارهای 1405'!$L:$L,"&lt;&gt;لغو شده")</f>
        <v/>
      </c>
      <c r="I343" s="9" t="inlineStr"/>
    </row>
    <row r="344">
      <c r="A344" s="10" t="n">
        <v>46444</v>
      </c>
      <c r="B344" s="9" t="inlineStr">
        <is>
          <t>1405/12/07</t>
        </is>
      </c>
      <c r="C344" s="9" t="inlineStr">
        <is>
          <t>اسفند</t>
        </is>
      </c>
      <c r="D344" s="9" t="n">
        <v>7</v>
      </c>
      <c r="E344" s="9" t="inlineStr">
        <is>
          <t>زمستان</t>
        </is>
      </c>
      <c r="F344" s="9" t="inlineStr"/>
      <c r="G344" s="9">
        <f>COUNTIF('کارهای 1405'!$G:$G,A344)</f>
        <v/>
      </c>
      <c r="H344" s="9">
        <f>COUNTIFS('کارهای 1405'!$G:$G,A344,'کارهای 1405'!$L:$L,"&lt;&gt;انجام شده",'کارهای 1405'!$L:$L,"&lt;&gt;لغو شده")</f>
        <v/>
      </c>
      <c r="I344" s="9" t="inlineStr"/>
    </row>
    <row r="345">
      <c r="A345" s="10" t="n">
        <v>46445</v>
      </c>
      <c r="B345" s="9" t="inlineStr">
        <is>
          <t>1405/12/08</t>
        </is>
      </c>
      <c r="C345" s="9" t="inlineStr">
        <is>
          <t>اسفند</t>
        </is>
      </c>
      <c r="D345" s="9" t="n">
        <v>8</v>
      </c>
      <c r="E345" s="9" t="inlineStr">
        <is>
          <t>زمستان</t>
        </is>
      </c>
      <c r="F345" s="9" t="inlineStr"/>
      <c r="G345" s="9">
        <f>COUNTIF('کارهای 1405'!$G:$G,A345)</f>
        <v/>
      </c>
      <c r="H345" s="9">
        <f>COUNTIFS('کارهای 1405'!$G:$G,A345,'کارهای 1405'!$L:$L,"&lt;&gt;انجام شده",'کارهای 1405'!$L:$L,"&lt;&gt;لغو شده")</f>
        <v/>
      </c>
      <c r="I345" s="9" t="inlineStr"/>
    </row>
    <row r="346">
      <c r="A346" s="10" t="n">
        <v>46446</v>
      </c>
      <c r="B346" s="9" t="inlineStr">
        <is>
          <t>1405/12/09</t>
        </is>
      </c>
      <c r="C346" s="9" t="inlineStr">
        <is>
          <t>اسفند</t>
        </is>
      </c>
      <c r="D346" s="9" t="n">
        <v>9</v>
      </c>
      <c r="E346" s="9" t="inlineStr">
        <is>
          <t>زمستان</t>
        </is>
      </c>
      <c r="F346" s="9" t="inlineStr"/>
      <c r="G346" s="9">
        <f>COUNTIF('کارهای 1405'!$G:$G,A346)</f>
        <v/>
      </c>
      <c r="H346" s="9">
        <f>COUNTIFS('کارهای 1405'!$G:$G,A346,'کارهای 1405'!$L:$L,"&lt;&gt;انجام شده",'کارهای 1405'!$L:$L,"&lt;&gt;لغو شده")</f>
        <v/>
      </c>
      <c r="I346" s="9" t="inlineStr"/>
    </row>
    <row r="347">
      <c r="A347" s="10" t="n">
        <v>46447</v>
      </c>
      <c r="B347" s="9" t="inlineStr">
        <is>
          <t>1405/12/10</t>
        </is>
      </c>
      <c r="C347" s="9" t="inlineStr">
        <is>
          <t>اسفند</t>
        </is>
      </c>
      <c r="D347" s="9" t="n">
        <v>10</v>
      </c>
      <c r="E347" s="9" t="inlineStr">
        <is>
          <t>زمستان</t>
        </is>
      </c>
      <c r="F347" s="9" t="inlineStr"/>
      <c r="G347" s="9">
        <f>COUNTIF('کارهای 1405'!$G:$G,A347)</f>
        <v/>
      </c>
      <c r="H347" s="9">
        <f>COUNTIFS('کارهای 1405'!$G:$G,A347,'کارهای 1405'!$L:$L,"&lt;&gt;انجام شده",'کارهای 1405'!$L:$L,"&lt;&gt;لغو شده")</f>
        <v/>
      </c>
      <c r="I347" s="9" t="inlineStr"/>
    </row>
    <row r="348">
      <c r="A348" s="10" t="n">
        <v>46448</v>
      </c>
      <c r="B348" s="9" t="inlineStr">
        <is>
          <t>1405/12/11</t>
        </is>
      </c>
      <c r="C348" s="9" t="inlineStr">
        <is>
          <t>اسفند</t>
        </is>
      </c>
      <c r="D348" s="9" t="n">
        <v>11</v>
      </c>
      <c r="E348" s="9" t="inlineStr">
        <is>
          <t>زمستان</t>
        </is>
      </c>
      <c r="F348" s="9" t="inlineStr"/>
      <c r="G348" s="9">
        <f>COUNTIF('کارهای 1405'!$G:$G,A348)</f>
        <v/>
      </c>
      <c r="H348" s="9">
        <f>COUNTIFS('کارهای 1405'!$G:$G,A348,'کارهای 1405'!$L:$L,"&lt;&gt;انجام شده",'کارهای 1405'!$L:$L,"&lt;&gt;لغو شده")</f>
        <v/>
      </c>
      <c r="I348" s="9" t="inlineStr"/>
    </row>
    <row r="349">
      <c r="A349" s="10" t="n">
        <v>46449</v>
      </c>
      <c r="B349" s="9" t="inlineStr">
        <is>
          <t>1405/12/12</t>
        </is>
      </c>
      <c r="C349" s="9" t="inlineStr">
        <is>
          <t>اسفند</t>
        </is>
      </c>
      <c r="D349" s="9" t="n">
        <v>12</v>
      </c>
      <c r="E349" s="9" t="inlineStr">
        <is>
          <t>زمستان</t>
        </is>
      </c>
      <c r="F349" s="9" t="inlineStr"/>
      <c r="G349" s="9">
        <f>COUNTIF('کارهای 1405'!$G:$G,A349)</f>
        <v/>
      </c>
      <c r="H349" s="9">
        <f>COUNTIFS('کارهای 1405'!$G:$G,A349,'کارهای 1405'!$L:$L,"&lt;&gt;انجام شده",'کارهای 1405'!$L:$L,"&lt;&gt;لغو شده")</f>
        <v/>
      </c>
      <c r="I349" s="9" t="inlineStr"/>
    </row>
    <row r="350">
      <c r="A350" s="10" t="n">
        <v>46450</v>
      </c>
      <c r="B350" s="9" t="inlineStr">
        <is>
          <t>1405/12/13</t>
        </is>
      </c>
      <c r="C350" s="9" t="inlineStr">
        <is>
          <t>اسفند</t>
        </is>
      </c>
      <c r="D350" s="9" t="n">
        <v>13</v>
      </c>
      <c r="E350" s="9" t="inlineStr">
        <is>
          <t>زمستان</t>
        </is>
      </c>
      <c r="F350" s="9" t="inlineStr"/>
      <c r="G350" s="9">
        <f>COUNTIF('کارهای 1405'!$G:$G,A350)</f>
        <v/>
      </c>
      <c r="H350" s="9">
        <f>COUNTIFS('کارهای 1405'!$G:$G,A350,'کارهای 1405'!$L:$L,"&lt;&gt;انجام شده",'کارهای 1405'!$L:$L,"&lt;&gt;لغو شده")</f>
        <v/>
      </c>
      <c r="I350" s="9" t="inlineStr"/>
    </row>
    <row r="351">
      <c r="A351" s="10" t="n">
        <v>46451</v>
      </c>
      <c r="B351" s="9" t="inlineStr">
        <is>
          <t>1405/12/14</t>
        </is>
      </c>
      <c r="C351" s="9" t="inlineStr">
        <is>
          <t>اسفند</t>
        </is>
      </c>
      <c r="D351" s="9" t="n">
        <v>14</v>
      </c>
      <c r="E351" s="9" t="inlineStr">
        <is>
          <t>زمستان</t>
        </is>
      </c>
      <c r="F351" s="9" t="inlineStr"/>
      <c r="G351" s="9">
        <f>COUNTIF('کارهای 1405'!$G:$G,A351)</f>
        <v/>
      </c>
      <c r="H351" s="9">
        <f>COUNTIFS('کارهای 1405'!$G:$G,A351,'کارهای 1405'!$L:$L,"&lt;&gt;انجام شده",'کارهای 1405'!$L:$L,"&lt;&gt;لغو شده")</f>
        <v/>
      </c>
      <c r="I351" s="9" t="inlineStr"/>
    </row>
    <row r="352">
      <c r="A352" s="10" t="n">
        <v>46452</v>
      </c>
      <c r="B352" s="9" t="inlineStr">
        <is>
          <t>1405/12/15</t>
        </is>
      </c>
      <c r="C352" s="9" t="inlineStr">
        <is>
          <t>اسفند</t>
        </is>
      </c>
      <c r="D352" s="9" t="n">
        <v>15</v>
      </c>
      <c r="E352" s="9" t="inlineStr">
        <is>
          <t>زمستان</t>
        </is>
      </c>
      <c r="F352" s="9" t="inlineStr"/>
      <c r="G352" s="9">
        <f>COUNTIF('کارهای 1405'!$G:$G,A352)</f>
        <v/>
      </c>
      <c r="H352" s="9">
        <f>COUNTIFS('کارهای 1405'!$G:$G,A352,'کارهای 1405'!$L:$L,"&lt;&gt;انجام شده",'کارهای 1405'!$L:$L,"&lt;&gt;لغو شده")</f>
        <v/>
      </c>
      <c r="I352" s="9" t="inlineStr"/>
    </row>
    <row r="353">
      <c r="A353" s="10" t="n">
        <v>46453</v>
      </c>
      <c r="B353" s="9" t="inlineStr">
        <is>
          <t>1405/12/16</t>
        </is>
      </c>
      <c r="C353" s="9" t="inlineStr">
        <is>
          <t>اسفند</t>
        </is>
      </c>
      <c r="D353" s="9" t="n">
        <v>16</v>
      </c>
      <c r="E353" s="9" t="inlineStr">
        <is>
          <t>زمستان</t>
        </is>
      </c>
      <c r="F353" s="9" t="inlineStr"/>
      <c r="G353" s="9">
        <f>COUNTIF('کارهای 1405'!$G:$G,A353)</f>
        <v/>
      </c>
      <c r="H353" s="9">
        <f>COUNTIFS('کارهای 1405'!$G:$G,A353,'کارهای 1405'!$L:$L,"&lt;&gt;انجام شده",'کارهای 1405'!$L:$L,"&lt;&gt;لغو شده")</f>
        <v/>
      </c>
      <c r="I353" s="9" t="inlineStr"/>
    </row>
    <row r="354">
      <c r="A354" s="10" t="n">
        <v>46454</v>
      </c>
      <c r="B354" s="9" t="inlineStr">
        <is>
          <t>1405/12/17</t>
        </is>
      </c>
      <c r="C354" s="9" t="inlineStr">
        <is>
          <t>اسفند</t>
        </is>
      </c>
      <c r="D354" s="9" t="n">
        <v>17</v>
      </c>
      <c r="E354" s="9" t="inlineStr">
        <is>
          <t>زمستان</t>
        </is>
      </c>
      <c r="F354" s="9" t="inlineStr"/>
      <c r="G354" s="9">
        <f>COUNTIF('کارهای 1405'!$G:$G,A354)</f>
        <v/>
      </c>
      <c r="H354" s="9">
        <f>COUNTIFS('کارهای 1405'!$G:$G,A354,'کارهای 1405'!$L:$L,"&lt;&gt;انجام شده",'کارهای 1405'!$L:$L,"&lt;&gt;لغو شده")</f>
        <v/>
      </c>
      <c r="I354" s="9" t="inlineStr"/>
    </row>
    <row r="355">
      <c r="A355" s="10" t="n">
        <v>46455</v>
      </c>
      <c r="B355" s="9" t="inlineStr">
        <is>
          <t>1405/12/18</t>
        </is>
      </c>
      <c r="C355" s="9" t="inlineStr">
        <is>
          <t>اسفند</t>
        </is>
      </c>
      <c r="D355" s="9" t="n">
        <v>18</v>
      </c>
      <c r="E355" s="9" t="inlineStr">
        <is>
          <t>زمستان</t>
        </is>
      </c>
      <c r="F355" s="9" t="inlineStr"/>
      <c r="G355" s="9">
        <f>COUNTIF('کارهای 1405'!$G:$G,A355)</f>
        <v/>
      </c>
      <c r="H355" s="9">
        <f>COUNTIFS('کارهای 1405'!$G:$G,A355,'کارهای 1405'!$L:$L,"&lt;&gt;انجام شده",'کارهای 1405'!$L:$L,"&lt;&gt;لغو شده")</f>
        <v/>
      </c>
      <c r="I355" s="9" t="inlineStr"/>
    </row>
    <row r="356">
      <c r="A356" s="10" t="n">
        <v>46456</v>
      </c>
      <c r="B356" s="9" t="inlineStr">
        <is>
          <t>1405/12/19</t>
        </is>
      </c>
      <c r="C356" s="9" t="inlineStr">
        <is>
          <t>اسفند</t>
        </is>
      </c>
      <c r="D356" s="9" t="n">
        <v>19</v>
      </c>
      <c r="E356" s="9" t="inlineStr">
        <is>
          <t>زمستان</t>
        </is>
      </c>
      <c r="F356" s="9" t="inlineStr"/>
      <c r="G356" s="9">
        <f>COUNTIF('کارهای 1405'!$G:$G,A356)</f>
        <v/>
      </c>
      <c r="H356" s="9">
        <f>COUNTIFS('کارهای 1405'!$G:$G,A356,'کارهای 1405'!$L:$L,"&lt;&gt;انجام شده",'کارهای 1405'!$L:$L,"&lt;&gt;لغو شده")</f>
        <v/>
      </c>
      <c r="I356" s="9" t="inlineStr"/>
    </row>
    <row r="357">
      <c r="A357" s="10" t="n">
        <v>46457</v>
      </c>
      <c r="B357" s="9" t="inlineStr">
        <is>
          <t>1405/12/20</t>
        </is>
      </c>
      <c r="C357" s="9" t="inlineStr">
        <is>
          <t>اسفند</t>
        </is>
      </c>
      <c r="D357" s="9" t="n">
        <v>20</v>
      </c>
      <c r="E357" s="9" t="inlineStr">
        <is>
          <t>زمستان</t>
        </is>
      </c>
      <c r="F357" s="9" t="inlineStr"/>
      <c r="G357" s="9">
        <f>COUNTIF('کارهای 1405'!$G:$G,A357)</f>
        <v/>
      </c>
      <c r="H357" s="9">
        <f>COUNTIFS('کارهای 1405'!$G:$G,A357,'کارهای 1405'!$L:$L,"&lt;&gt;انجام شده",'کارهای 1405'!$L:$L,"&lt;&gt;لغو شده")</f>
        <v/>
      </c>
      <c r="I357" s="9" t="inlineStr"/>
    </row>
    <row r="358">
      <c r="A358" s="10" t="n">
        <v>46458</v>
      </c>
      <c r="B358" s="9" t="inlineStr">
        <is>
          <t>1405/12/21</t>
        </is>
      </c>
      <c r="C358" s="9" t="inlineStr">
        <is>
          <t>اسفند</t>
        </is>
      </c>
      <c r="D358" s="9" t="n">
        <v>21</v>
      </c>
      <c r="E358" s="9" t="inlineStr">
        <is>
          <t>زمستان</t>
        </is>
      </c>
      <c r="F358" s="9" t="inlineStr"/>
      <c r="G358" s="9">
        <f>COUNTIF('کارهای 1405'!$G:$G,A358)</f>
        <v/>
      </c>
      <c r="H358" s="9">
        <f>COUNTIFS('کارهای 1405'!$G:$G,A358,'کارهای 1405'!$L:$L,"&lt;&gt;انجام شده",'کارهای 1405'!$L:$L,"&lt;&gt;لغو شده")</f>
        <v/>
      </c>
      <c r="I358" s="9" t="inlineStr"/>
    </row>
    <row r="359">
      <c r="A359" s="10" t="n">
        <v>46459</v>
      </c>
      <c r="B359" s="9" t="inlineStr">
        <is>
          <t>1405/12/22</t>
        </is>
      </c>
      <c r="C359" s="9" t="inlineStr">
        <is>
          <t>اسفند</t>
        </is>
      </c>
      <c r="D359" s="9" t="n">
        <v>22</v>
      </c>
      <c r="E359" s="9" t="inlineStr">
        <is>
          <t>زمستان</t>
        </is>
      </c>
      <c r="F359" s="9" t="inlineStr"/>
      <c r="G359" s="9">
        <f>COUNTIF('کارهای 1405'!$G:$G,A359)</f>
        <v/>
      </c>
      <c r="H359" s="9">
        <f>COUNTIFS('کارهای 1405'!$G:$G,A359,'کارهای 1405'!$L:$L,"&lt;&gt;انجام شده",'کارهای 1405'!$L:$L,"&lt;&gt;لغو شده")</f>
        <v/>
      </c>
      <c r="I359" s="9" t="inlineStr"/>
    </row>
    <row r="360">
      <c r="A360" s="10" t="n">
        <v>46460</v>
      </c>
      <c r="B360" s="9" t="inlineStr">
        <is>
          <t>1405/12/23</t>
        </is>
      </c>
      <c r="C360" s="9" t="inlineStr">
        <is>
          <t>اسفند</t>
        </is>
      </c>
      <c r="D360" s="9" t="n">
        <v>23</v>
      </c>
      <c r="E360" s="9" t="inlineStr">
        <is>
          <t>زمستان</t>
        </is>
      </c>
      <c r="F360" s="9" t="inlineStr"/>
      <c r="G360" s="9">
        <f>COUNTIF('کارهای 1405'!$G:$G,A360)</f>
        <v/>
      </c>
      <c r="H360" s="9">
        <f>COUNTIFS('کارهای 1405'!$G:$G,A360,'کارهای 1405'!$L:$L,"&lt;&gt;انجام شده",'کارهای 1405'!$L:$L,"&lt;&gt;لغو شده")</f>
        <v/>
      </c>
      <c r="I360" s="9" t="inlineStr"/>
    </row>
    <row r="361">
      <c r="A361" s="10" t="n">
        <v>46461</v>
      </c>
      <c r="B361" s="9" t="inlineStr">
        <is>
          <t>1405/12/24</t>
        </is>
      </c>
      <c r="C361" s="9" t="inlineStr">
        <is>
          <t>اسفند</t>
        </is>
      </c>
      <c r="D361" s="9" t="n">
        <v>24</v>
      </c>
      <c r="E361" s="9" t="inlineStr">
        <is>
          <t>زمستان</t>
        </is>
      </c>
      <c r="F361" s="9" t="inlineStr"/>
      <c r="G361" s="9">
        <f>COUNTIF('کارهای 1405'!$G:$G,A361)</f>
        <v/>
      </c>
      <c r="H361" s="9">
        <f>COUNTIFS('کارهای 1405'!$G:$G,A361,'کارهای 1405'!$L:$L,"&lt;&gt;انجام شده",'کارهای 1405'!$L:$L,"&lt;&gt;لغو شده")</f>
        <v/>
      </c>
      <c r="I361" s="9" t="inlineStr"/>
    </row>
    <row r="362">
      <c r="A362" s="10" t="n">
        <v>46462</v>
      </c>
      <c r="B362" s="9" t="inlineStr">
        <is>
          <t>1405/12/25</t>
        </is>
      </c>
      <c r="C362" s="9" t="inlineStr">
        <is>
          <t>اسفند</t>
        </is>
      </c>
      <c r="D362" s="9" t="n">
        <v>25</v>
      </c>
      <c r="E362" s="9" t="inlineStr">
        <is>
          <t>زمستان</t>
        </is>
      </c>
      <c r="F362" s="9" t="inlineStr"/>
      <c r="G362" s="9">
        <f>COUNTIF('کارهای 1405'!$G:$G,A362)</f>
        <v/>
      </c>
      <c r="H362" s="9">
        <f>COUNTIFS('کارهای 1405'!$G:$G,A362,'کارهای 1405'!$L:$L,"&lt;&gt;انجام شده",'کارهای 1405'!$L:$L,"&lt;&gt;لغو شده")</f>
        <v/>
      </c>
      <c r="I362" s="9" t="inlineStr"/>
    </row>
    <row r="363">
      <c r="A363" s="10" t="n">
        <v>46463</v>
      </c>
      <c r="B363" s="9" t="inlineStr">
        <is>
          <t>1405/12/26</t>
        </is>
      </c>
      <c r="C363" s="9" t="inlineStr">
        <is>
          <t>اسفند</t>
        </is>
      </c>
      <c r="D363" s="9" t="n">
        <v>26</v>
      </c>
      <c r="E363" s="9" t="inlineStr">
        <is>
          <t>زمستان</t>
        </is>
      </c>
      <c r="F363" s="9" t="inlineStr"/>
      <c r="G363" s="9">
        <f>COUNTIF('کارهای 1405'!$G:$G,A363)</f>
        <v/>
      </c>
      <c r="H363" s="9">
        <f>COUNTIFS('کارهای 1405'!$G:$G,A363,'کارهای 1405'!$L:$L,"&lt;&gt;انجام شده",'کارهای 1405'!$L:$L,"&lt;&gt;لغو شده")</f>
        <v/>
      </c>
      <c r="I363" s="9" t="inlineStr"/>
    </row>
    <row r="364">
      <c r="A364" s="10" t="n">
        <v>46464</v>
      </c>
      <c r="B364" s="9" t="inlineStr">
        <is>
          <t>1405/12/27</t>
        </is>
      </c>
      <c r="C364" s="9" t="inlineStr">
        <is>
          <t>اسفند</t>
        </is>
      </c>
      <c r="D364" s="9" t="n">
        <v>27</v>
      </c>
      <c r="E364" s="9" t="inlineStr">
        <is>
          <t>زمستان</t>
        </is>
      </c>
      <c r="F364" s="9" t="inlineStr"/>
      <c r="G364" s="9">
        <f>COUNTIF('کارهای 1405'!$G:$G,A364)</f>
        <v/>
      </c>
      <c r="H364" s="9">
        <f>COUNTIFS('کارهای 1405'!$G:$G,A364,'کارهای 1405'!$L:$L,"&lt;&gt;انجام شده",'کارهای 1405'!$L:$L,"&lt;&gt;لغو شده")</f>
        <v/>
      </c>
      <c r="I364" s="9" t="inlineStr"/>
    </row>
    <row r="365">
      <c r="A365" s="10" t="n">
        <v>46465</v>
      </c>
      <c r="B365" s="9" t="inlineStr">
        <is>
          <t>1405/12/28</t>
        </is>
      </c>
      <c r="C365" s="9" t="inlineStr">
        <is>
          <t>اسفند</t>
        </is>
      </c>
      <c r="D365" s="9" t="n">
        <v>28</v>
      </c>
      <c r="E365" s="9" t="inlineStr">
        <is>
          <t>زمستان</t>
        </is>
      </c>
      <c r="F365" s="9" t="inlineStr"/>
      <c r="G365" s="9">
        <f>COUNTIF('کارهای 1405'!$G:$G,A365)</f>
        <v/>
      </c>
      <c r="H365" s="9">
        <f>COUNTIFS('کارهای 1405'!$G:$G,A365,'کارهای 1405'!$L:$L,"&lt;&gt;انجام شده",'کارهای 1405'!$L:$L,"&lt;&gt;لغو شده")</f>
        <v/>
      </c>
      <c r="I365" s="9" t="inlineStr"/>
    </row>
    <row r="366">
      <c r="A366" s="10" t="n">
        <v>46466</v>
      </c>
      <c r="B366" s="9" t="inlineStr">
        <is>
          <t>1405/12/29</t>
        </is>
      </c>
      <c r="C366" s="9" t="inlineStr">
        <is>
          <t>اسفند</t>
        </is>
      </c>
      <c r="D366" s="9" t="n">
        <v>29</v>
      </c>
      <c r="E366" s="9" t="inlineStr">
        <is>
          <t>زمستان</t>
        </is>
      </c>
      <c r="F366" s="9" t="inlineStr"/>
      <c r="G366" s="9">
        <f>COUNTIF('کارهای 1405'!$G:$G,A366)</f>
        <v/>
      </c>
      <c r="H366" s="9">
        <f>COUNTIFS('کارهای 1405'!$G:$G,A366,'کارهای 1405'!$L:$L,"&lt;&gt;انجام شده",'کارهای 1405'!$L:$L,"&lt;&gt;لغو شده")</f>
        <v/>
      </c>
      <c r="I366" s="9" t="inlineStr"/>
    </row>
  </sheetData>
  <conditionalFormatting sqref="A2:I366">
    <cfRule type="expression" priority="1" dxfId="2">
      <formula>$H2&gt;0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6" customWidth="1" min="4" max="4"/>
    <col width="28" customWidth="1" min="5" max="5"/>
    <col width="14" customWidth="1" min="6" max="6"/>
    <col width="14" customWidth="1" min="7" max="7"/>
    <col width="42" customWidth="1" min="8" max="8"/>
  </cols>
  <sheetData>
    <row r="1">
      <c r="A1" s="8" t="inlineStr">
        <is>
          <t>کد الگو</t>
        </is>
      </c>
      <c r="B1" s="8" t="inlineStr">
        <is>
          <t>گروه کار</t>
        </is>
      </c>
      <c r="C1" s="8" t="inlineStr">
        <is>
          <t>شرح کار</t>
        </is>
      </c>
      <c r="D1" s="8" t="inlineStr">
        <is>
          <t>تناوب</t>
        </is>
      </c>
      <c r="E1" s="8" t="inlineStr">
        <is>
          <t>سررسید پیش‌فرض</t>
        </is>
      </c>
      <c r="F1" s="8" t="inlineStr">
        <is>
          <t>روز یادآوری</t>
        </is>
      </c>
      <c r="G1" s="8" t="inlineStr">
        <is>
          <t>اولویت</t>
        </is>
      </c>
      <c r="H1" s="8" t="inlineStr">
        <is>
          <t>توضیح</t>
        </is>
      </c>
    </row>
    <row r="2">
      <c r="A2" s="9" t="inlineStr">
        <is>
          <t>T001</t>
        </is>
      </c>
      <c r="B2" s="9" t="inlineStr">
        <is>
          <t>حضور/روزانه</t>
        </is>
      </c>
      <c r="C2" s="9" t="inlineStr">
        <is>
          <t>کنترل صندوق و تنخواه</t>
        </is>
      </c>
      <c r="D2" s="9" t="inlineStr">
        <is>
          <t>حضور/روزانه</t>
        </is>
      </c>
      <c r="E2" s="9" t="inlineStr">
        <is>
          <t>همان روز حضور</t>
        </is>
      </c>
      <c r="F2" s="9" t="n">
        <v>1</v>
      </c>
      <c r="G2" s="9" t="inlineStr">
        <is>
          <t>بالا</t>
        </is>
      </c>
      <c r="H2" s="9" t="inlineStr">
        <is>
          <t>چک‌لیست حضور</t>
        </is>
      </c>
    </row>
    <row r="3">
      <c r="A3" s="9" t="inlineStr">
        <is>
          <t>T002</t>
        </is>
      </c>
      <c r="B3" s="9" t="inlineStr">
        <is>
          <t>حضور/روزانه</t>
        </is>
      </c>
      <c r="C3" s="9" t="inlineStr">
        <is>
          <t>کنترل بانک و تراکنش‌های روزهای قبل</t>
        </is>
      </c>
      <c r="D3" s="9" t="inlineStr">
        <is>
          <t>حضور/روزانه</t>
        </is>
      </c>
      <c r="E3" s="9" t="inlineStr">
        <is>
          <t>همان روز حضور</t>
        </is>
      </c>
      <c r="F3" s="9" t="n">
        <v>1</v>
      </c>
      <c r="G3" s="9" t="inlineStr">
        <is>
          <t>بالا</t>
        </is>
      </c>
      <c r="H3" s="9" t="inlineStr">
        <is>
          <t>چک‌لیست حضور</t>
        </is>
      </c>
    </row>
    <row r="4">
      <c r="A4" s="9" t="inlineStr">
        <is>
          <t>T003</t>
        </is>
      </c>
      <c r="B4" s="9" t="inlineStr">
        <is>
          <t>حضور/روزانه</t>
        </is>
      </c>
      <c r="C4" s="9" t="inlineStr">
        <is>
          <t>ثبت اسناد حسابداری عقب‌مانده</t>
        </is>
      </c>
      <c r="D4" s="9" t="inlineStr">
        <is>
          <t>حضور/روزانه</t>
        </is>
      </c>
      <c r="E4" s="9" t="inlineStr">
        <is>
          <t>همان روز حضور</t>
        </is>
      </c>
      <c r="F4" s="9" t="n">
        <v>1</v>
      </c>
      <c r="G4" s="9" t="inlineStr">
        <is>
          <t>بالا</t>
        </is>
      </c>
      <c r="H4" s="9" t="inlineStr"/>
    </row>
    <row r="5">
      <c r="A5" s="9" t="inlineStr">
        <is>
          <t>T004</t>
        </is>
      </c>
      <c r="B5" s="9" t="inlineStr">
        <is>
          <t>حضور/روزانه</t>
        </is>
      </c>
      <c r="C5" s="9" t="inlineStr">
        <is>
          <t>کنترل فاکتورهای خرید</t>
        </is>
      </c>
      <c r="D5" s="9" t="inlineStr">
        <is>
          <t>حضور/روزانه</t>
        </is>
      </c>
      <c r="E5" s="9" t="inlineStr">
        <is>
          <t>همان روز حضور</t>
        </is>
      </c>
      <c r="F5" s="9" t="n">
        <v>1</v>
      </c>
      <c r="G5" s="9" t="inlineStr">
        <is>
          <t>متوسط</t>
        </is>
      </c>
      <c r="H5" s="9" t="inlineStr"/>
    </row>
    <row r="6">
      <c r="A6" s="9" t="inlineStr">
        <is>
          <t>T005</t>
        </is>
      </c>
      <c r="B6" s="9" t="inlineStr">
        <is>
          <t>حضور/روزانه</t>
        </is>
      </c>
      <c r="C6" s="9" t="inlineStr">
        <is>
          <t>کنترل فاکتورهای فروش</t>
        </is>
      </c>
      <c r="D6" s="9" t="inlineStr">
        <is>
          <t>حضور/روزانه</t>
        </is>
      </c>
      <c r="E6" s="9" t="inlineStr">
        <is>
          <t>همان روز حضور</t>
        </is>
      </c>
      <c r="F6" s="9" t="n">
        <v>1</v>
      </c>
      <c r="G6" s="9" t="inlineStr">
        <is>
          <t>متوسط</t>
        </is>
      </c>
      <c r="H6" s="9" t="inlineStr"/>
    </row>
    <row r="7">
      <c r="A7" s="9" t="inlineStr">
        <is>
          <t>T006</t>
        </is>
      </c>
      <c r="B7" s="9" t="inlineStr">
        <is>
          <t>حضور/روزانه</t>
        </is>
      </c>
      <c r="C7" s="9" t="inlineStr">
        <is>
          <t>کنترل چک‌های دریافتی و پرداختنی</t>
        </is>
      </c>
      <c r="D7" s="9" t="inlineStr">
        <is>
          <t>حضور/روزانه</t>
        </is>
      </c>
      <c r="E7" s="9" t="inlineStr">
        <is>
          <t>همان روز حضور</t>
        </is>
      </c>
      <c r="F7" s="9" t="n">
        <v>1</v>
      </c>
      <c r="G7" s="9" t="inlineStr">
        <is>
          <t>بالا</t>
        </is>
      </c>
      <c r="H7" s="9" t="inlineStr"/>
    </row>
    <row r="8">
      <c r="A8" s="9" t="inlineStr">
        <is>
          <t>T101</t>
        </is>
      </c>
      <c r="B8" s="9" t="inlineStr">
        <is>
          <t>پایان ماه</t>
        </is>
      </c>
      <c r="C8" s="9" t="inlineStr">
        <is>
          <t>مغایرت‌گیری بانکی ماهانه</t>
        </is>
      </c>
      <c r="D8" s="9" t="inlineStr">
        <is>
          <t>ماهانه</t>
        </is>
      </c>
      <c r="E8" s="9" t="inlineStr">
        <is>
          <t>روز 5 ماه بعد</t>
        </is>
      </c>
      <c r="F8" s="9" t="n">
        <v>5</v>
      </c>
      <c r="G8" s="9" t="inlineStr">
        <is>
          <t>بالا</t>
        </is>
      </c>
      <c r="H8" s="9" t="inlineStr"/>
    </row>
    <row r="9">
      <c r="A9" s="9" t="inlineStr">
        <is>
          <t>T102</t>
        </is>
      </c>
      <c r="B9" s="9" t="inlineStr">
        <is>
          <t>پایان ماه</t>
        </is>
      </c>
      <c r="C9" s="9" t="inlineStr">
        <is>
          <t>کنترل نهایی اسناد ماهانه</t>
        </is>
      </c>
      <c r="D9" s="9" t="inlineStr">
        <is>
          <t>ماهانه</t>
        </is>
      </c>
      <c r="E9" s="9" t="inlineStr">
        <is>
          <t>روز 7 ماه بعد</t>
        </is>
      </c>
      <c r="F9" s="9" t="n">
        <v>5</v>
      </c>
      <c r="G9" s="9" t="inlineStr">
        <is>
          <t>بالا</t>
        </is>
      </c>
      <c r="H9" s="9" t="inlineStr"/>
    </row>
    <row r="10">
      <c r="A10" s="9" t="inlineStr">
        <is>
          <t>T103</t>
        </is>
      </c>
      <c r="B10" s="9" t="inlineStr">
        <is>
          <t>پایان ماه</t>
        </is>
      </c>
      <c r="C10" s="9" t="inlineStr">
        <is>
          <t>بستن حساب‌های ماهانه و کنترل مانده‌ها</t>
        </is>
      </c>
      <c r="D10" s="9" t="inlineStr">
        <is>
          <t>ماهانه</t>
        </is>
      </c>
      <c r="E10" s="9" t="inlineStr">
        <is>
          <t>روز 10 ماه بعد</t>
        </is>
      </c>
      <c r="F10" s="9" t="n">
        <v>7</v>
      </c>
      <c r="G10" s="9" t="inlineStr">
        <is>
          <t>بالا</t>
        </is>
      </c>
      <c r="H10" s="9" t="inlineStr"/>
    </row>
    <row r="11">
      <c r="A11" s="9" t="inlineStr">
        <is>
          <t>T104</t>
        </is>
      </c>
      <c r="B11" s="9" t="inlineStr">
        <is>
          <t>گزارش</t>
        </is>
      </c>
      <c r="C11" s="9" t="inlineStr">
        <is>
          <t>تهیه گزارش مدیریت ماهانه</t>
        </is>
      </c>
      <c r="D11" s="9" t="inlineStr">
        <is>
          <t>ماهانه</t>
        </is>
      </c>
      <c r="E11" s="9" t="inlineStr">
        <is>
          <t>روز 10 ماه بعد</t>
        </is>
      </c>
      <c r="F11" s="9" t="n">
        <v>5</v>
      </c>
      <c r="G11" s="9" t="inlineStr">
        <is>
          <t>متوسط</t>
        </is>
      </c>
      <c r="H11" s="9" t="inlineStr"/>
    </row>
    <row r="12">
      <c r="A12" s="9" t="inlineStr">
        <is>
          <t>T105</t>
        </is>
      </c>
      <c r="B12" s="9" t="inlineStr">
        <is>
          <t>حقوق و دستمزد</t>
        </is>
      </c>
      <c r="C12" s="9" t="inlineStr">
        <is>
          <t>محاسبه حقوق و دستمزد</t>
        </is>
      </c>
      <c r="D12" s="9" t="inlineStr">
        <is>
          <t>ماهانه</t>
        </is>
      </c>
      <c r="E12" s="9" t="inlineStr">
        <is>
          <t>روز 28 همان ماه</t>
        </is>
      </c>
      <c r="F12" s="9" t="n">
        <v>5</v>
      </c>
      <c r="G12" s="9" t="inlineStr">
        <is>
          <t>بالا</t>
        </is>
      </c>
      <c r="H12" s="9" t="inlineStr"/>
    </row>
    <row r="13">
      <c r="A13" s="9" t="inlineStr">
        <is>
          <t>T106</t>
        </is>
      </c>
      <c r="B13" s="9" t="inlineStr">
        <is>
          <t>حقوق و دستمزد</t>
        </is>
      </c>
      <c r="C13" s="9" t="inlineStr">
        <is>
          <t>ارسال/پرداخت لیست بیمه تأمین اجتماعی</t>
        </is>
      </c>
      <c r="D13" s="9" t="inlineStr">
        <is>
          <t>ماهانه</t>
        </is>
      </c>
      <c r="E13" s="9" t="inlineStr">
        <is>
          <t>پایان ماه بعد</t>
        </is>
      </c>
      <c r="F13" s="9" t="n">
        <v>7</v>
      </c>
      <c r="G13" s="9" t="inlineStr">
        <is>
          <t>خیلی بالا</t>
        </is>
      </c>
      <c r="H13" s="9" t="inlineStr">
        <is>
          <t>قابل کنترل با قانون جاری</t>
        </is>
      </c>
    </row>
    <row r="14">
      <c r="A14" s="9" t="inlineStr">
        <is>
          <t>T107</t>
        </is>
      </c>
      <c r="B14" s="9" t="inlineStr">
        <is>
          <t>حقوق و دستمزد</t>
        </is>
      </c>
      <c r="C14" s="9" t="inlineStr">
        <is>
          <t>ارسال/پرداخت مالیات حقوق</t>
        </is>
      </c>
      <c r="D14" s="9" t="inlineStr">
        <is>
          <t>ماهانه</t>
        </is>
      </c>
      <c r="E14" s="9" t="inlineStr">
        <is>
          <t>پایان ماه بعد</t>
        </is>
      </c>
      <c r="F14" s="9" t="n">
        <v>7</v>
      </c>
      <c r="G14" s="9" t="inlineStr">
        <is>
          <t>خیلی بالا</t>
        </is>
      </c>
      <c r="H14" s="9" t="inlineStr">
        <is>
          <t>قابل کنترل با قانون جاری</t>
        </is>
      </c>
    </row>
    <row r="15">
      <c r="A15" s="9" t="inlineStr">
        <is>
          <t>T108</t>
        </is>
      </c>
      <c r="B15" s="9" t="inlineStr">
        <is>
          <t>بایگانی</t>
        </is>
      </c>
      <c r="C15" s="9" t="inlineStr">
        <is>
          <t>بایگانی مدارک و اسناد ماهانه</t>
        </is>
      </c>
      <c r="D15" s="9" t="inlineStr">
        <is>
          <t>ماهانه</t>
        </is>
      </c>
      <c r="E15" s="9" t="inlineStr">
        <is>
          <t>روز 15 ماه بعد</t>
        </is>
      </c>
      <c r="F15" s="9" t="n">
        <v>3</v>
      </c>
      <c r="G15" s="9" t="inlineStr">
        <is>
          <t>متوسط</t>
        </is>
      </c>
      <c r="H15" s="9" t="inlineStr"/>
    </row>
    <row r="16">
      <c r="A16" s="9" t="inlineStr">
        <is>
          <t>T201</t>
        </is>
      </c>
      <c r="B16" s="9" t="inlineStr">
        <is>
          <t>مالیات</t>
        </is>
      </c>
      <c r="C16" s="9" t="inlineStr">
        <is>
          <t>تهیه و ارسال اظهارنامه ارزش افزوده</t>
        </is>
      </c>
      <c r="D16" s="9" t="inlineStr">
        <is>
          <t>فصلی</t>
        </is>
      </c>
      <c r="E16" s="9" t="inlineStr">
        <is>
          <t>روز 15 ماه بعد از پایان فصل</t>
        </is>
      </c>
      <c r="F16" s="9" t="n">
        <v>10</v>
      </c>
      <c r="G16" s="9" t="inlineStr">
        <is>
          <t>خیلی بالا</t>
        </is>
      </c>
      <c r="H16" s="9" t="inlineStr">
        <is>
          <t>مهلت‌ها ممکن است تغییر/تمدید شوند</t>
        </is>
      </c>
    </row>
    <row r="17">
      <c r="A17" s="9" t="inlineStr">
        <is>
          <t>T202</t>
        </is>
      </c>
      <c r="B17" s="9" t="inlineStr">
        <is>
          <t>مالیات</t>
        </is>
      </c>
      <c r="C17" s="9" t="inlineStr">
        <is>
          <t>تهیه و ارسال معاملات فصلی</t>
        </is>
      </c>
      <c r="D17" s="9" t="inlineStr">
        <is>
          <t>فصلی</t>
        </is>
      </c>
      <c r="E17" s="9" t="inlineStr">
        <is>
          <t>45 روز پس از پایان فصل</t>
        </is>
      </c>
      <c r="F17" s="9" t="n">
        <v>10</v>
      </c>
      <c r="G17" s="9" t="inlineStr">
        <is>
          <t>خیلی بالا</t>
        </is>
      </c>
      <c r="H17" s="9" t="inlineStr">
        <is>
          <t>قابل کنترل با قانون جاری</t>
        </is>
      </c>
    </row>
    <row r="18">
      <c r="A18" s="9" t="inlineStr">
        <is>
          <t>T203</t>
        </is>
      </c>
      <c r="B18" s="9" t="inlineStr">
        <is>
          <t>کنترل فصلی</t>
        </is>
      </c>
      <c r="C18" s="9" t="inlineStr">
        <is>
          <t>کنترل جامع حساب‌ها و گزارش فصلی</t>
        </is>
      </c>
      <c r="D18" s="9" t="inlineStr">
        <is>
          <t>فصلی</t>
        </is>
      </c>
      <c r="E18" s="9" t="inlineStr">
        <is>
          <t>روز 20 ماه بعد از پایان فصل</t>
        </is>
      </c>
      <c r="F18" s="9" t="n">
        <v>10</v>
      </c>
      <c r="G18" s="9" t="inlineStr">
        <is>
          <t>بالا</t>
        </is>
      </c>
      <c r="H18" s="9" t="inlineStr"/>
    </row>
    <row r="19">
      <c r="A19" s="9" t="inlineStr">
        <is>
          <t>T301</t>
        </is>
      </c>
      <c r="B19" s="9" t="inlineStr">
        <is>
          <t>سالانه</t>
        </is>
      </c>
      <c r="C19" s="9" t="inlineStr">
        <is>
          <t>جمع‌آوری مدارک و آماده‌سازی اظهارنامه عملکرد</t>
        </is>
      </c>
      <c r="D19" s="9" t="inlineStr">
        <is>
          <t>سالانه</t>
        </is>
      </c>
      <c r="E19" s="9" t="inlineStr">
        <is>
          <t>بعد از پایان سال مالی</t>
        </is>
      </c>
      <c r="F19" s="9" t="n">
        <v>30</v>
      </c>
      <c r="G19" s="9" t="inlineStr">
        <is>
          <t>خیلی بالا</t>
        </is>
      </c>
      <c r="H19" s="9" t="inlineStr"/>
    </row>
    <row r="20">
      <c r="A20" s="9" t="inlineStr">
        <is>
          <t>T302</t>
        </is>
      </c>
      <c r="B20" s="9" t="inlineStr">
        <is>
          <t>سالانه</t>
        </is>
      </c>
      <c r="C20" s="9" t="inlineStr">
        <is>
          <t>کنترل نهایی حساب‌ها، بستن سال مالی و انتقال مانده‌ها</t>
        </is>
      </c>
      <c r="D20" s="9" t="inlineStr">
        <is>
          <t>سالانه</t>
        </is>
      </c>
      <c r="E20" s="9" t="inlineStr">
        <is>
          <t>پایان سال/پس از اسفند</t>
        </is>
      </c>
      <c r="F20" s="9" t="n">
        <v>30</v>
      </c>
      <c r="G20" s="9" t="inlineStr">
        <is>
          <t>خیلی بالا</t>
        </is>
      </c>
      <c r="H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</row>
    <row r="2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</row>
    <row r="26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</row>
    <row r="34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</row>
    <row r="35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</row>
    <row r="37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</row>
    <row r="39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</row>
    <row r="43">
      <c r="A43" s="9" t="inlineStr"/>
      <c r="B43" s="9" t="inlineStr"/>
      <c r="C43" s="9" t="inlineStr"/>
      <c r="D43" s="9" t="inlineStr"/>
      <c r="E43" s="9" t="inlineStr"/>
      <c r="F43" s="9" t="inlineStr"/>
      <c r="G43" s="9" t="inlineStr"/>
      <c r="H43" s="9" t="inlineStr"/>
    </row>
    <row r="44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</row>
    <row r="45">
      <c r="A45" s="9" t="inlineStr"/>
      <c r="B45" s="9" t="inlineStr"/>
      <c r="C45" s="9" t="inlineStr"/>
      <c r="D45" s="9" t="inlineStr"/>
      <c r="E45" s="9" t="inlineStr"/>
      <c r="F45" s="9" t="inlineStr"/>
      <c r="G45" s="9" t="inlineStr"/>
      <c r="H45" s="9" t="inlineStr"/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</row>
    <row r="47">
      <c r="A47" s="9" t="inlineStr"/>
      <c r="B47" s="9" t="inlineStr"/>
      <c r="C47" s="9" t="inlineStr"/>
      <c r="D47" s="9" t="inlineStr"/>
      <c r="E47" s="9" t="inlineStr"/>
      <c r="F47" s="9" t="inlineStr"/>
      <c r="G47" s="9" t="inlineStr"/>
      <c r="H47" s="9" t="inlineStr"/>
    </row>
    <row r="48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  <c r="H48" s="9" t="inlineStr"/>
    </row>
    <row r="49">
      <c r="A49" s="9" t="inlineStr"/>
      <c r="B49" s="9" t="inlineStr"/>
      <c r="C49" s="9" t="inlineStr"/>
      <c r="D49" s="9" t="inlineStr"/>
      <c r="E49" s="9" t="inlineStr"/>
      <c r="F49" s="9" t="inlineStr"/>
      <c r="G49" s="9" t="inlineStr"/>
      <c r="H49" s="9" t="inlineStr"/>
    </row>
    <row r="50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  <c r="H50" s="9" t="inlineStr"/>
    </row>
    <row r="51">
      <c r="A51" s="9" t="inlineStr"/>
      <c r="B51" s="9" t="inlineStr"/>
      <c r="C51" s="9" t="inlineStr"/>
      <c r="D51" s="9" t="inlineStr"/>
      <c r="E51" s="9" t="inlineStr"/>
      <c r="F51" s="9" t="inlineStr"/>
      <c r="G51" s="9" t="inlineStr"/>
      <c r="H51" s="9" t="inlineStr"/>
    </row>
    <row r="52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  <c r="H52" s="9" t="inlineStr"/>
    </row>
    <row r="53">
      <c r="A53" s="9" t="inlineStr"/>
      <c r="B53" s="9" t="inlineStr"/>
      <c r="C53" s="9" t="inlineStr"/>
      <c r="D53" s="9" t="inlineStr"/>
      <c r="E53" s="9" t="inlineStr"/>
      <c r="F53" s="9" t="inlineStr"/>
      <c r="G53" s="9" t="inlineStr"/>
      <c r="H53" s="9" t="inlineStr"/>
    </row>
    <row r="54">
      <c r="A54" s="9" t="inlineStr"/>
      <c r="B54" s="9" t="inlineStr"/>
      <c r="C54" s="9" t="inlineStr"/>
      <c r="D54" s="9" t="inlineStr"/>
      <c r="E54" s="9" t="inlineStr"/>
      <c r="F54" s="9" t="inlineStr"/>
      <c r="G54" s="9" t="inlineStr"/>
      <c r="H54" s="9" t="inlineStr"/>
    </row>
    <row r="55">
      <c r="A55" s="9" t="inlineStr"/>
      <c r="B55" s="9" t="inlineStr"/>
      <c r="C55" s="9" t="inlineStr"/>
      <c r="D55" s="9" t="inlineStr"/>
      <c r="E55" s="9" t="inlineStr"/>
      <c r="F55" s="9" t="inlineStr"/>
      <c r="G55" s="9" t="inlineStr"/>
      <c r="H55" s="9" t="inlineStr"/>
    </row>
    <row r="56">
      <c r="A56" s="9" t="inlineStr"/>
      <c r="B56" s="9" t="inlineStr"/>
      <c r="C56" s="9" t="inlineStr"/>
      <c r="D56" s="9" t="inlineStr"/>
      <c r="E56" s="9" t="inlineStr"/>
      <c r="F56" s="9" t="inlineStr"/>
      <c r="G56" s="9" t="inlineStr"/>
      <c r="H56" s="9" t="inlineStr"/>
    </row>
    <row r="57">
      <c r="A57" s="9" t="inlineStr"/>
      <c r="B57" s="9" t="inlineStr"/>
      <c r="C57" s="9" t="inlineStr"/>
      <c r="D57" s="9" t="inlineStr"/>
      <c r="E57" s="9" t="inlineStr"/>
      <c r="F57" s="9" t="inlineStr"/>
      <c r="G57" s="9" t="inlineStr"/>
      <c r="H57" s="9" t="inlineStr"/>
    </row>
    <row r="58">
      <c r="A58" s="9" t="inlineStr"/>
      <c r="B58" s="9" t="inlineStr"/>
      <c r="C58" s="9" t="inlineStr"/>
      <c r="D58" s="9" t="inlineStr"/>
      <c r="E58" s="9" t="inlineStr"/>
      <c r="F58" s="9" t="inlineStr"/>
      <c r="G58" s="9" t="inlineStr"/>
      <c r="H58" s="9" t="inlineStr"/>
    </row>
    <row r="59">
      <c r="A59" s="9" t="inlineStr"/>
      <c r="B59" s="9" t="inlineStr"/>
      <c r="C59" s="9" t="inlineStr"/>
      <c r="D59" s="9" t="inlineStr"/>
      <c r="E59" s="9" t="inlineStr"/>
      <c r="F59" s="9" t="inlineStr"/>
      <c r="G59" s="9" t="inlineStr"/>
      <c r="H59" s="9" t="inlineStr"/>
    </row>
    <row r="60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/>
    </row>
    <row r="61">
      <c r="A61" s="9" t="inlineStr"/>
      <c r="B61" s="9" t="inlineStr"/>
      <c r="C61" s="9" t="inlineStr"/>
      <c r="D61" s="9" t="inlineStr"/>
      <c r="E61" s="9" t="inlineStr"/>
      <c r="F61" s="9" t="inlineStr"/>
      <c r="G61" s="9" t="inlineStr"/>
      <c r="H61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5" customWidth="1" min="3" max="3"/>
    <col width="18" customWidth="1" min="4" max="4"/>
    <col width="18" customWidth="1" min="5" max="5"/>
    <col width="14" customWidth="1" min="6" max="6"/>
    <col width="35" customWidth="1" min="7" max="7"/>
  </cols>
  <sheetData>
    <row r="1">
      <c r="A1" s="8" t="inlineStr">
        <is>
          <t>شرکت</t>
        </is>
      </c>
      <c r="B1" s="8" t="inlineStr">
        <is>
          <t>حوزه</t>
        </is>
      </c>
      <c r="C1" s="8" t="inlineStr">
        <is>
          <t>شرح کنترل</t>
        </is>
      </c>
      <c r="D1" s="8" t="inlineStr">
        <is>
          <t>زمان پیشنهادی</t>
        </is>
      </c>
      <c r="E1" s="8" t="inlineStr">
        <is>
          <t>آخرین تاریخ انجام</t>
        </is>
      </c>
      <c r="F1" s="8" t="inlineStr">
        <is>
          <t>وضعیت</t>
        </is>
      </c>
      <c r="G1" s="8" t="inlineStr">
        <is>
          <t>یادداشت</t>
        </is>
      </c>
    </row>
    <row r="2">
      <c r="A2" s="9" t="inlineStr">
        <is>
          <t>همه شرکت‌ها</t>
        </is>
      </c>
      <c r="B2" s="9" t="inlineStr">
        <is>
          <t>بانک/صندوق</t>
        </is>
      </c>
      <c r="C2" s="9" t="inlineStr">
        <is>
          <t>کنترل موجودی صندوق و تنخواه</t>
        </is>
      </c>
      <c r="D2" s="9" t="inlineStr">
        <is>
          <t>اول حضور</t>
        </is>
      </c>
      <c r="E2" s="10" t="n"/>
      <c r="F2" s="9" t="inlineStr">
        <is>
          <t>باز</t>
        </is>
      </c>
      <c r="G2" s="9" t="inlineStr"/>
    </row>
    <row r="3">
      <c r="A3" s="9" t="inlineStr">
        <is>
          <t>همه شرکت‌ها</t>
        </is>
      </c>
      <c r="B3" s="9" t="inlineStr">
        <is>
          <t>بانک/صندوق</t>
        </is>
      </c>
      <c r="C3" s="9" t="inlineStr">
        <is>
          <t>کنترل تراکنش‌های بانکی از آخرین حضور تا امروز</t>
        </is>
      </c>
      <c r="D3" s="9" t="inlineStr">
        <is>
          <t>اول حضور</t>
        </is>
      </c>
      <c r="E3" s="10" t="n"/>
      <c r="F3" s="9" t="inlineStr">
        <is>
          <t>باز</t>
        </is>
      </c>
      <c r="G3" s="9" t="inlineStr"/>
    </row>
    <row r="4">
      <c r="A4" s="9" t="inlineStr">
        <is>
          <t>همه شرکت‌ها</t>
        </is>
      </c>
      <c r="B4" s="9" t="inlineStr">
        <is>
          <t>اسناد</t>
        </is>
      </c>
      <c r="C4" s="9" t="inlineStr">
        <is>
          <t>ثبت اسناد عقب‌مانده و کنترل شماره اسناد</t>
        </is>
      </c>
      <c r="D4" s="9" t="inlineStr">
        <is>
          <t>حین کار</t>
        </is>
      </c>
      <c r="E4" s="10" t="n"/>
      <c r="F4" s="9" t="inlineStr">
        <is>
          <t>باز</t>
        </is>
      </c>
      <c r="G4" s="9" t="inlineStr"/>
    </row>
    <row r="5">
      <c r="A5" s="9" t="inlineStr">
        <is>
          <t>همه شرکت‌ها</t>
        </is>
      </c>
      <c r="B5" s="9" t="inlineStr">
        <is>
          <t>خرید</t>
        </is>
      </c>
      <c r="C5" s="9" t="inlineStr">
        <is>
          <t>کنترل فاکتورهای خرید و ضمائم</t>
        </is>
      </c>
      <c r="D5" s="9" t="inlineStr">
        <is>
          <t>حین کار</t>
        </is>
      </c>
      <c r="E5" s="10" t="n"/>
      <c r="F5" s="9" t="inlineStr">
        <is>
          <t>باز</t>
        </is>
      </c>
      <c r="G5" s="9" t="inlineStr"/>
    </row>
    <row r="6">
      <c r="A6" s="9" t="inlineStr">
        <is>
          <t>همه شرکت‌ها</t>
        </is>
      </c>
      <c r="B6" s="9" t="inlineStr">
        <is>
          <t>فروش</t>
        </is>
      </c>
      <c r="C6" s="9" t="inlineStr">
        <is>
          <t>کنترل فاکتورهای فروش و برگشت از فروش</t>
        </is>
      </c>
      <c r="D6" s="9" t="inlineStr">
        <is>
          <t>حین کار</t>
        </is>
      </c>
      <c r="E6" s="10" t="n"/>
      <c r="F6" s="9" t="inlineStr">
        <is>
          <t>باز</t>
        </is>
      </c>
      <c r="G6" s="9" t="inlineStr"/>
    </row>
    <row r="7">
      <c r="A7" s="9" t="inlineStr">
        <is>
          <t>همه شرکت‌ها</t>
        </is>
      </c>
      <c r="B7" s="9" t="inlineStr">
        <is>
          <t>چک‌ها</t>
        </is>
      </c>
      <c r="C7" s="9" t="inlineStr">
        <is>
          <t>کنترل سررسید چک‌های دریافتی و پرداختنی</t>
        </is>
      </c>
      <c r="D7" s="9" t="inlineStr">
        <is>
          <t>اول حضور</t>
        </is>
      </c>
      <c r="E7" s="10" t="n"/>
      <c r="F7" s="9" t="inlineStr">
        <is>
          <t>باز</t>
        </is>
      </c>
      <c r="G7" s="9" t="inlineStr"/>
    </row>
    <row r="8">
      <c r="A8" s="9" t="inlineStr">
        <is>
          <t>همه شرکت‌ها</t>
        </is>
      </c>
      <c r="B8" s="9" t="inlineStr">
        <is>
          <t>مالیات/بیمه</t>
        </is>
      </c>
      <c r="C8" s="9" t="inlineStr">
        <is>
          <t>بررسی کارهای سررسید قانونی این هفته</t>
        </is>
      </c>
      <c r="D8" s="9" t="inlineStr">
        <is>
          <t>اول حضور</t>
        </is>
      </c>
      <c r="E8" s="10" t="n"/>
      <c r="F8" s="9" t="inlineStr">
        <is>
          <t>باز</t>
        </is>
      </c>
      <c r="G8" s="9" t="inlineStr"/>
    </row>
    <row r="9">
      <c r="A9" s="9" t="inlineStr">
        <is>
          <t>همه شرکت‌ها</t>
        </is>
      </c>
      <c r="B9" s="9" t="inlineStr">
        <is>
          <t>گزارش</t>
        </is>
      </c>
      <c r="C9" s="9" t="inlineStr">
        <is>
          <t>ثبت نکات مهم برای گزارش مدیریتی</t>
        </is>
      </c>
      <c r="D9" s="9" t="inlineStr">
        <is>
          <t>پایان حضور</t>
        </is>
      </c>
      <c r="E9" s="10" t="n"/>
      <c r="F9" s="9" t="inlineStr">
        <is>
          <t>باز</t>
        </is>
      </c>
      <c r="G9" s="9" t="inlineStr"/>
    </row>
    <row r="10">
      <c r="A10" s="9" t="inlineStr">
        <is>
          <t>همه شرکت‌ها</t>
        </is>
      </c>
      <c r="B10" s="9" t="inlineStr">
        <is>
          <t>کنترل خطا</t>
        </is>
      </c>
      <c r="C10" s="9" t="inlineStr">
        <is>
          <t>مرور خطاهای قبلی همان شرکت قبل از بستن کار</t>
        </is>
      </c>
      <c r="D10" s="9" t="inlineStr">
        <is>
          <t>پایان حضور</t>
        </is>
      </c>
      <c r="E10" s="10" t="n"/>
      <c r="F10" s="9" t="inlineStr">
        <is>
          <t>باز</t>
        </is>
      </c>
      <c r="G10" s="9" t="inlineStr"/>
    </row>
    <row r="11">
      <c r="A11" s="9" t="inlineStr">
        <is>
          <t>همه شرکت‌ها</t>
        </is>
      </c>
      <c r="B11" s="9" t="inlineStr">
        <is>
          <t>بایگانی</t>
        </is>
      </c>
      <c r="C11" s="9" t="inlineStr">
        <is>
          <t>اسکن/بایگانی مدارک مهم روز</t>
        </is>
      </c>
      <c r="D11" s="9" t="inlineStr">
        <is>
          <t>پایان حضور</t>
        </is>
      </c>
      <c r="E11" s="10" t="n"/>
      <c r="F11" s="9" t="inlineStr">
        <is>
          <t>باز</t>
        </is>
      </c>
      <c r="G11" s="9" t="inlineStr"/>
    </row>
    <row r="12">
      <c r="A12" s="9" t="inlineStr"/>
      <c r="B12" s="9" t="inlineStr"/>
      <c r="C12" s="9" t="inlineStr"/>
      <c r="D12" s="9" t="inlineStr"/>
      <c r="E12" s="10" t="inlineStr"/>
      <c r="F12" s="9" t="inlineStr"/>
      <c r="G12" s="9" t="inlineStr"/>
    </row>
    <row r="13">
      <c r="A13" s="9" t="inlineStr"/>
      <c r="B13" s="9" t="inlineStr"/>
      <c r="C13" s="9" t="inlineStr"/>
      <c r="D13" s="9" t="inlineStr"/>
      <c r="E13" s="10" t="inlineStr"/>
      <c r="F13" s="9" t="inlineStr"/>
      <c r="G13" s="9" t="inlineStr"/>
    </row>
    <row r="14">
      <c r="A14" s="9" t="inlineStr"/>
      <c r="B14" s="9" t="inlineStr"/>
      <c r="C14" s="9" t="inlineStr"/>
      <c r="D14" s="9" t="inlineStr"/>
      <c r="E14" s="10" t="inlineStr"/>
      <c r="F14" s="9" t="inlineStr"/>
      <c r="G14" s="9" t="inlineStr"/>
    </row>
    <row r="15">
      <c r="A15" s="9" t="inlineStr"/>
      <c r="B15" s="9" t="inlineStr"/>
      <c r="C15" s="9" t="inlineStr"/>
      <c r="D15" s="9" t="inlineStr"/>
      <c r="E15" s="10" t="inlineStr"/>
      <c r="F15" s="9" t="inlineStr"/>
      <c r="G15" s="9" t="inlineStr"/>
    </row>
    <row r="16">
      <c r="A16" s="9" t="inlineStr"/>
      <c r="B16" s="9" t="inlineStr"/>
      <c r="C16" s="9" t="inlineStr"/>
      <c r="D16" s="9" t="inlineStr"/>
      <c r="E16" s="10" t="inlineStr"/>
      <c r="F16" s="9" t="inlineStr"/>
      <c r="G16" s="9" t="inlineStr"/>
    </row>
    <row r="17">
      <c r="A17" s="9" t="inlineStr"/>
      <c r="B17" s="9" t="inlineStr"/>
      <c r="C17" s="9" t="inlineStr"/>
      <c r="D17" s="9" t="inlineStr"/>
      <c r="E17" s="10" t="inlineStr"/>
      <c r="F17" s="9" t="inlineStr"/>
      <c r="G17" s="9" t="inlineStr"/>
    </row>
    <row r="18">
      <c r="A18" s="9" t="inlineStr"/>
      <c r="B18" s="9" t="inlineStr"/>
      <c r="C18" s="9" t="inlineStr"/>
      <c r="D18" s="9" t="inlineStr"/>
      <c r="E18" s="10" t="inlineStr"/>
      <c r="F18" s="9" t="inlineStr"/>
      <c r="G18" s="9" t="inlineStr"/>
    </row>
    <row r="19">
      <c r="A19" s="9" t="inlineStr"/>
      <c r="B19" s="9" t="inlineStr"/>
      <c r="C19" s="9" t="inlineStr"/>
      <c r="D19" s="9" t="inlineStr"/>
      <c r="E19" s="10" t="inlineStr"/>
      <c r="F19" s="9" t="inlineStr"/>
      <c r="G19" s="9" t="inlineStr"/>
    </row>
    <row r="20">
      <c r="A20" s="9" t="inlineStr"/>
      <c r="B20" s="9" t="inlineStr"/>
      <c r="C20" s="9" t="inlineStr"/>
      <c r="D20" s="9" t="inlineStr"/>
      <c r="E20" s="10" t="inlineStr"/>
      <c r="F20" s="9" t="inlineStr"/>
      <c r="G20" s="9" t="inlineStr"/>
    </row>
    <row r="21">
      <c r="A21" s="9" t="inlineStr"/>
      <c r="B21" s="9" t="inlineStr"/>
      <c r="C21" s="9" t="inlineStr"/>
      <c r="D21" s="9" t="inlineStr"/>
      <c r="E21" s="10" t="inlineStr"/>
      <c r="F21" s="9" t="inlineStr"/>
      <c r="G21" s="9" t="inlineStr"/>
    </row>
    <row r="22">
      <c r="A22" s="9" t="inlineStr"/>
      <c r="B22" s="9" t="inlineStr"/>
      <c r="C22" s="9" t="inlineStr"/>
      <c r="D22" s="9" t="inlineStr"/>
      <c r="E22" s="10" t="inlineStr"/>
      <c r="F22" s="9" t="inlineStr"/>
      <c r="G22" s="9" t="inlineStr"/>
    </row>
    <row r="23">
      <c r="A23" s="9" t="inlineStr"/>
      <c r="B23" s="9" t="inlineStr"/>
      <c r="C23" s="9" t="inlineStr"/>
      <c r="D23" s="9" t="inlineStr"/>
      <c r="E23" s="10" t="inlineStr"/>
      <c r="F23" s="9" t="inlineStr"/>
      <c r="G23" s="9" t="inlineStr"/>
    </row>
    <row r="24">
      <c r="A24" s="9" t="inlineStr"/>
      <c r="B24" s="9" t="inlineStr"/>
      <c r="C24" s="9" t="inlineStr"/>
      <c r="D24" s="9" t="inlineStr"/>
      <c r="E24" s="10" t="inlineStr"/>
      <c r="F24" s="9" t="inlineStr"/>
      <c r="G24" s="9" t="inlineStr"/>
    </row>
    <row r="25">
      <c r="A25" s="9" t="inlineStr"/>
      <c r="B25" s="9" t="inlineStr"/>
      <c r="C25" s="9" t="inlineStr"/>
      <c r="D25" s="9" t="inlineStr"/>
      <c r="E25" s="10" t="inlineStr"/>
      <c r="F25" s="9" t="inlineStr"/>
      <c r="G25" s="9" t="inlineStr"/>
    </row>
    <row r="26">
      <c r="A26" s="9" t="inlineStr"/>
      <c r="B26" s="9" t="inlineStr"/>
      <c r="C26" s="9" t="inlineStr"/>
      <c r="D26" s="9" t="inlineStr"/>
      <c r="E26" s="10" t="inlineStr"/>
      <c r="F26" s="9" t="inlineStr"/>
      <c r="G26" s="9" t="inlineStr"/>
    </row>
    <row r="27">
      <c r="A27" s="9" t="inlineStr"/>
      <c r="B27" s="9" t="inlineStr"/>
      <c r="C27" s="9" t="inlineStr"/>
      <c r="D27" s="9" t="inlineStr"/>
      <c r="E27" s="10" t="inlineStr"/>
      <c r="F27" s="9" t="inlineStr"/>
      <c r="G27" s="9" t="inlineStr"/>
    </row>
    <row r="28">
      <c r="A28" s="9" t="inlineStr"/>
      <c r="B28" s="9" t="inlineStr"/>
      <c r="C28" s="9" t="inlineStr"/>
      <c r="D28" s="9" t="inlineStr"/>
      <c r="E28" s="10" t="inlineStr"/>
      <c r="F28" s="9" t="inlineStr"/>
      <c r="G28" s="9" t="inlineStr"/>
    </row>
    <row r="29">
      <c r="A29" s="9" t="inlineStr"/>
      <c r="B29" s="9" t="inlineStr"/>
      <c r="C29" s="9" t="inlineStr"/>
      <c r="D29" s="9" t="inlineStr"/>
      <c r="E29" s="10" t="inlineStr"/>
      <c r="F29" s="9" t="inlineStr"/>
      <c r="G29" s="9" t="inlineStr"/>
    </row>
    <row r="30">
      <c r="A30" s="9" t="inlineStr"/>
      <c r="B30" s="9" t="inlineStr"/>
      <c r="C30" s="9" t="inlineStr"/>
      <c r="D30" s="9" t="inlineStr"/>
      <c r="E30" s="10" t="inlineStr"/>
      <c r="F30" s="9" t="inlineStr"/>
      <c r="G30" s="9" t="inlineStr"/>
    </row>
    <row r="31">
      <c r="A31" s="9" t="inlineStr"/>
      <c r="B31" s="9" t="inlineStr"/>
      <c r="C31" s="9" t="inlineStr"/>
      <c r="D31" s="9" t="inlineStr"/>
      <c r="E31" s="10" t="inlineStr"/>
      <c r="F31" s="9" t="inlineStr"/>
      <c r="G31" s="9" t="inlineStr"/>
    </row>
    <row r="32">
      <c r="A32" s="9" t="inlineStr"/>
      <c r="B32" s="9" t="inlineStr"/>
      <c r="C32" s="9" t="inlineStr"/>
      <c r="D32" s="9" t="inlineStr"/>
      <c r="E32" s="10" t="inlineStr"/>
      <c r="F32" s="9" t="inlineStr"/>
      <c r="G32" s="9" t="inlineStr"/>
    </row>
    <row r="33">
      <c r="A33" s="9" t="inlineStr"/>
      <c r="B33" s="9" t="inlineStr"/>
      <c r="C33" s="9" t="inlineStr"/>
      <c r="D33" s="9" t="inlineStr"/>
      <c r="E33" s="10" t="inlineStr"/>
      <c r="F33" s="9" t="inlineStr"/>
      <c r="G33" s="9" t="inlineStr"/>
    </row>
    <row r="34">
      <c r="A34" s="9" t="inlineStr"/>
      <c r="B34" s="9" t="inlineStr"/>
      <c r="C34" s="9" t="inlineStr"/>
      <c r="D34" s="9" t="inlineStr"/>
      <c r="E34" s="10" t="inlineStr"/>
      <c r="F34" s="9" t="inlineStr"/>
      <c r="G34" s="9" t="inlineStr"/>
    </row>
    <row r="35">
      <c r="A35" s="9" t="inlineStr"/>
      <c r="B35" s="9" t="inlineStr"/>
      <c r="C35" s="9" t="inlineStr"/>
      <c r="D35" s="9" t="inlineStr"/>
      <c r="E35" s="10" t="inlineStr"/>
      <c r="F35" s="9" t="inlineStr"/>
      <c r="G35" s="9" t="inlineStr"/>
    </row>
    <row r="36">
      <c r="A36" s="9" t="inlineStr"/>
      <c r="B36" s="9" t="inlineStr"/>
      <c r="C36" s="9" t="inlineStr"/>
      <c r="D36" s="9" t="inlineStr"/>
      <c r="E36" s="10" t="inlineStr"/>
      <c r="F36" s="9" t="inlineStr"/>
      <c r="G36" s="9" t="inlineStr"/>
    </row>
    <row r="37">
      <c r="A37" s="9" t="inlineStr"/>
      <c r="B37" s="9" t="inlineStr"/>
      <c r="C37" s="9" t="inlineStr"/>
      <c r="D37" s="9" t="inlineStr"/>
      <c r="E37" s="10" t="inlineStr"/>
      <c r="F37" s="9" t="inlineStr"/>
      <c r="G37" s="9" t="inlineStr"/>
    </row>
    <row r="38">
      <c r="A38" s="9" t="inlineStr"/>
      <c r="B38" s="9" t="inlineStr"/>
      <c r="C38" s="9" t="inlineStr"/>
      <c r="D38" s="9" t="inlineStr"/>
      <c r="E38" s="10" t="inlineStr"/>
      <c r="F38" s="9" t="inlineStr"/>
      <c r="G38" s="9" t="inlineStr"/>
    </row>
    <row r="39">
      <c r="A39" s="9" t="inlineStr"/>
      <c r="B39" s="9" t="inlineStr"/>
      <c r="C39" s="9" t="inlineStr"/>
      <c r="D39" s="9" t="inlineStr"/>
      <c r="E39" s="10" t="inlineStr"/>
      <c r="F39" s="9" t="inlineStr"/>
      <c r="G39" s="9" t="inlineStr"/>
    </row>
    <row r="40">
      <c r="A40" s="9" t="inlineStr"/>
      <c r="B40" s="9" t="inlineStr"/>
      <c r="C40" s="9" t="inlineStr"/>
      <c r="D40" s="9" t="inlineStr"/>
      <c r="E40" s="10" t="inlineStr"/>
      <c r="F40" s="9" t="inlineStr"/>
      <c r="G40" s="9" t="inlineStr"/>
    </row>
    <row r="41">
      <c r="A41" s="9" t="inlineStr"/>
      <c r="B41" s="9" t="inlineStr"/>
      <c r="C41" s="9" t="inlineStr"/>
      <c r="D41" s="9" t="inlineStr"/>
      <c r="E41" s="10" t="inlineStr"/>
      <c r="F41" s="9" t="inlineStr"/>
      <c r="G41" s="9" t="inlineStr"/>
    </row>
    <row r="42">
      <c r="A42" s="9" t="inlineStr"/>
      <c r="B42" s="9" t="inlineStr"/>
      <c r="C42" s="9" t="inlineStr"/>
      <c r="D42" s="9" t="inlineStr"/>
      <c r="E42" s="10" t="inlineStr"/>
      <c r="F42" s="9" t="inlineStr"/>
      <c r="G42" s="9" t="inlineStr"/>
    </row>
    <row r="43">
      <c r="A43" s="9" t="inlineStr"/>
      <c r="B43" s="9" t="inlineStr"/>
      <c r="C43" s="9" t="inlineStr"/>
      <c r="D43" s="9" t="inlineStr"/>
      <c r="E43" s="10" t="inlineStr"/>
      <c r="F43" s="9" t="inlineStr"/>
      <c r="G43" s="9" t="inlineStr"/>
    </row>
    <row r="44">
      <c r="A44" s="9" t="inlineStr"/>
      <c r="B44" s="9" t="inlineStr"/>
      <c r="C44" s="9" t="inlineStr"/>
      <c r="D44" s="9" t="inlineStr"/>
      <c r="E44" s="10" t="inlineStr"/>
      <c r="F44" s="9" t="inlineStr"/>
      <c r="G44" s="9" t="inlineStr"/>
    </row>
    <row r="45">
      <c r="A45" s="9" t="inlineStr"/>
      <c r="B45" s="9" t="inlineStr"/>
      <c r="C45" s="9" t="inlineStr"/>
      <c r="D45" s="9" t="inlineStr"/>
      <c r="E45" s="10" t="inlineStr"/>
      <c r="F45" s="9" t="inlineStr"/>
      <c r="G45" s="9" t="inlineStr"/>
    </row>
    <row r="46">
      <c r="A46" s="9" t="inlineStr"/>
      <c r="B46" s="9" t="inlineStr"/>
      <c r="C46" s="9" t="inlineStr"/>
      <c r="D46" s="9" t="inlineStr"/>
      <c r="E46" s="10" t="inlineStr"/>
      <c r="F46" s="9" t="inlineStr"/>
      <c r="G46" s="9" t="inlineStr"/>
    </row>
    <row r="47">
      <c r="A47" s="9" t="inlineStr"/>
      <c r="B47" s="9" t="inlineStr"/>
      <c r="C47" s="9" t="inlineStr"/>
      <c r="D47" s="9" t="inlineStr"/>
      <c r="E47" s="10" t="inlineStr"/>
      <c r="F47" s="9" t="inlineStr"/>
      <c r="G47" s="9" t="inlineStr"/>
    </row>
    <row r="48">
      <c r="A48" s="9" t="inlineStr"/>
      <c r="B48" s="9" t="inlineStr"/>
      <c r="C48" s="9" t="inlineStr"/>
      <c r="D48" s="9" t="inlineStr"/>
      <c r="E48" s="10" t="inlineStr"/>
      <c r="F48" s="9" t="inlineStr"/>
      <c r="G48" s="9" t="inlineStr"/>
    </row>
    <row r="49">
      <c r="A49" s="9" t="inlineStr"/>
      <c r="B49" s="9" t="inlineStr"/>
      <c r="C49" s="9" t="inlineStr"/>
      <c r="D49" s="9" t="inlineStr"/>
      <c r="E49" s="10" t="inlineStr"/>
      <c r="F49" s="9" t="inlineStr"/>
      <c r="G49" s="9" t="inlineStr"/>
    </row>
    <row r="50">
      <c r="A50" s="9" t="inlineStr"/>
      <c r="B50" s="9" t="inlineStr"/>
      <c r="C50" s="9" t="inlineStr"/>
      <c r="D50" s="9" t="inlineStr"/>
      <c r="E50" s="10" t="inlineStr"/>
      <c r="F50" s="9" t="inlineStr"/>
      <c r="G50" s="9" t="inlineStr"/>
    </row>
    <row r="51">
      <c r="A51" s="9" t="inlineStr"/>
      <c r="B51" s="9" t="inlineStr"/>
      <c r="C51" s="9" t="inlineStr"/>
      <c r="D51" s="9" t="inlineStr"/>
      <c r="E51" s="10" t="inlineStr"/>
      <c r="F51" s="9" t="inlineStr"/>
      <c r="G51" s="9" t="inlineStr"/>
    </row>
    <row r="52">
      <c r="A52" s="9" t="inlineStr"/>
      <c r="B52" s="9" t="inlineStr"/>
      <c r="C52" s="9" t="inlineStr"/>
      <c r="D52" s="9" t="inlineStr"/>
      <c r="E52" s="10" t="inlineStr"/>
      <c r="F52" s="9" t="inlineStr"/>
      <c r="G52" s="9" t="inlineStr"/>
    </row>
    <row r="53">
      <c r="A53" s="9" t="inlineStr"/>
      <c r="B53" s="9" t="inlineStr"/>
      <c r="C53" s="9" t="inlineStr"/>
      <c r="D53" s="9" t="inlineStr"/>
      <c r="E53" s="10" t="inlineStr"/>
      <c r="F53" s="9" t="inlineStr"/>
      <c r="G53" s="9" t="inlineStr"/>
    </row>
    <row r="54">
      <c r="A54" s="9" t="inlineStr"/>
      <c r="B54" s="9" t="inlineStr"/>
      <c r="C54" s="9" t="inlineStr"/>
      <c r="D54" s="9" t="inlineStr"/>
      <c r="E54" s="10" t="inlineStr"/>
      <c r="F54" s="9" t="inlineStr"/>
      <c r="G54" s="9" t="inlineStr"/>
    </row>
    <row r="55">
      <c r="A55" s="9" t="inlineStr"/>
      <c r="B55" s="9" t="inlineStr"/>
      <c r="C55" s="9" t="inlineStr"/>
      <c r="D55" s="9" t="inlineStr"/>
      <c r="E55" s="10" t="inlineStr"/>
      <c r="F55" s="9" t="inlineStr"/>
      <c r="G55" s="9" t="inlineStr"/>
    </row>
    <row r="56">
      <c r="A56" s="9" t="inlineStr"/>
      <c r="B56" s="9" t="inlineStr"/>
      <c r="C56" s="9" t="inlineStr"/>
      <c r="D56" s="9" t="inlineStr"/>
      <c r="E56" s="10" t="inlineStr"/>
      <c r="F56" s="9" t="inlineStr"/>
      <c r="G56" s="9" t="inlineStr"/>
    </row>
    <row r="57">
      <c r="A57" s="9" t="inlineStr"/>
      <c r="B57" s="9" t="inlineStr"/>
      <c r="C57" s="9" t="inlineStr"/>
      <c r="D57" s="9" t="inlineStr"/>
      <c r="E57" s="10" t="inlineStr"/>
      <c r="F57" s="9" t="inlineStr"/>
      <c r="G57" s="9" t="inlineStr"/>
    </row>
    <row r="58">
      <c r="A58" s="9" t="inlineStr"/>
      <c r="B58" s="9" t="inlineStr"/>
      <c r="C58" s="9" t="inlineStr"/>
      <c r="D58" s="9" t="inlineStr"/>
      <c r="E58" s="10" t="inlineStr"/>
      <c r="F58" s="9" t="inlineStr"/>
      <c r="G58" s="9" t="inlineStr"/>
    </row>
    <row r="59">
      <c r="A59" s="9" t="inlineStr"/>
      <c r="B59" s="9" t="inlineStr"/>
      <c r="C59" s="9" t="inlineStr"/>
      <c r="D59" s="9" t="inlineStr"/>
      <c r="E59" s="10" t="inlineStr"/>
      <c r="F59" s="9" t="inlineStr"/>
      <c r="G59" s="9" t="inlineStr"/>
    </row>
    <row r="60">
      <c r="A60" s="9" t="inlineStr"/>
      <c r="B60" s="9" t="inlineStr"/>
      <c r="C60" s="9" t="inlineStr"/>
      <c r="D60" s="9" t="inlineStr"/>
      <c r="E60" s="10" t="inlineStr"/>
      <c r="F60" s="9" t="inlineStr"/>
      <c r="G60" s="9" t="inlineStr"/>
    </row>
    <row r="61">
      <c r="A61" s="9" t="inlineStr"/>
      <c r="B61" s="9" t="inlineStr"/>
      <c r="C61" s="9" t="inlineStr"/>
      <c r="D61" s="9" t="inlineStr"/>
      <c r="E61" s="10" t="inlineStr"/>
      <c r="F61" s="9" t="inlineStr"/>
      <c r="G61" s="9" t="inlineStr"/>
    </row>
    <row r="62">
      <c r="A62" s="9" t="inlineStr"/>
      <c r="B62" s="9" t="inlineStr"/>
      <c r="C62" s="9" t="inlineStr"/>
      <c r="D62" s="9" t="inlineStr"/>
      <c r="E62" s="10" t="inlineStr"/>
      <c r="F62" s="9" t="inlineStr"/>
      <c r="G62" s="9" t="inlineStr"/>
    </row>
    <row r="63">
      <c r="A63" s="9" t="inlineStr"/>
      <c r="B63" s="9" t="inlineStr"/>
      <c r="C63" s="9" t="inlineStr"/>
      <c r="D63" s="9" t="inlineStr"/>
      <c r="E63" s="10" t="inlineStr"/>
      <c r="F63" s="9" t="inlineStr"/>
      <c r="G63" s="9" t="inlineStr"/>
    </row>
    <row r="64">
      <c r="A64" s="9" t="inlineStr"/>
      <c r="B64" s="9" t="inlineStr"/>
      <c r="C64" s="9" t="inlineStr"/>
      <c r="D64" s="9" t="inlineStr"/>
      <c r="E64" s="10" t="inlineStr"/>
      <c r="F64" s="9" t="inlineStr"/>
      <c r="G64" s="9" t="inlineStr"/>
    </row>
    <row r="65">
      <c r="A65" s="9" t="inlineStr"/>
      <c r="B65" s="9" t="inlineStr"/>
      <c r="C65" s="9" t="inlineStr"/>
      <c r="D65" s="9" t="inlineStr"/>
      <c r="E65" s="10" t="inlineStr"/>
      <c r="F65" s="9" t="inlineStr"/>
      <c r="G65" s="9" t="inlineStr"/>
    </row>
    <row r="66">
      <c r="A66" s="9" t="inlineStr"/>
      <c r="B66" s="9" t="inlineStr"/>
      <c r="C66" s="9" t="inlineStr"/>
      <c r="D66" s="9" t="inlineStr"/>
      <c r="E66" s="10" t="inlineStr"/>
      <c r="F66" s="9" t="inlineStr"/>
      <c r="G66" s="9" t="inlineStr"/>
    </row>
    <row r="67">
      <c r="A67" s="9" t="inlineStr"/>
      <c r="B67" s="9" t="inlineStr"/>
      <c r="C67" s="9" t="inlineStr"/>
      <c r="D67" s="9" t="inlineStr"/>
      <c r="E67" s="10" t="inlineStr"/>
      <c r="F67" s="9" t="inlineStr"/>
      <c r="G67" s="9" t="inlineStr"/>
    </row>
    <row r="68">
      <c r="A68" s="9" t="inlineStr"/>
      <c r="B68" s="9" t="inlineStr"/>
      <c r="C68" s="9" t="inlineStr"/>
      <c r="D68" s="9" t="inlineStr"/>
      <c r="E68" s="10" t="inlineStr"/>
      <c r="F68" s="9" t="inlineStr"/>
      <c r="G68" s="9" t="inlineStr"/>
    </row>
    <row r="69">
      <c r="A69" s="9" t="inlineStr"/>
      <c r="B69" s="9" t="inlineStr"/>
      <c r="C69" s="9" t="inlineStr"/>
      <c r="D69" s="9" t="inlineStr"/>
      <c r="E69" s="10" t="inlineStr"/>
      <c r="F69" s="9" t="inlineStr"/>
      <c r="G69" s="9" t="inlineStr"/>
    </row>
    <row r="70">
      <c r="A70" s="9" t="inlineStr"/>
      <c r="B70" s="9" t="inlineStr"/>
      <c r="C70" s="9" t="inlineStr"/>
      <c r="D70" s="9" t="inlineStr"/>
      <c r="E70" s="10" t="inlineStr"/>
      <c r="F70" s="9" t="inlineStr"/>
      <c r="G70" s="9" t="inlineStr"/>
    </row>
    <row r="71">
      <c r="A71" s="9" t="inlineStr"/>
      <c r="B71" s="9" t="inlineStr"/>
      <c r="C71" s="9" t="inlineStr"/>
      <c r="D71" s="9" t="inlineStr"/>
      <c r="E71" s="10" t="inlineStr"/>
      <c r="F71" s="9" t="inlineStr"/>
      <c r="G71" s="9" t="inlineStr"/>
    </row>
  </sheetData>
  <dataValidations count="2">
    <dataValidation sqref="A2:A80" showDropDown="0" showInputMessage="0" showErrorMessage="0" allowBlank="1" type="list">
      <formula1>'تنظیمات'!$A$2:$A$7</formula1>
    </dataValidation>
    <dataValidation sqref="F2:F80" showDropDown="0" showInputMessage="0" showErrorMessage="0" allowBlank="1" type="list">
      <formula1>'تنظیمات'!$B$2:$B$6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38" customWidth="1" min="4" max="4"/>
    <col width="30" customWidth="1" min="5" max="5"/>
    <col width="18" customWidth="1" min="6" max="6"/>
    <col width="18" customWidth="1" min="7" max="7"/>
    <col width="14" customWidth="1" min="8" max="8"/>
    <col width="16" customWidth="1" min="9" max="9"/>
    <col width="14" customWidth="1" min="10" max="10"/>
    <col width="40" customWidth="1" min="11" max="11"/>
  </cols>
  <sheetData>
    <row r="1">
      <c r="A1" s="8" t="inlineStr">
        <is>
          <t>تاریخ ثبت</t>
        </is>
      </c>
      <c r="B1" s="8" t="inlineStr">
        <is>
          <t>شرکت</t>
        </is>
      </c>
      <c r="C1" s="8" t="inlineStr">
        <is>
          <t>درخواست‌دهنده</t>
        </is>
      </c>
      <c r="D1" s="8" t="inlineStr">
        <is>
          <t>موضوع/درخواست</t>
        </is>
      </c>
      <c r="E1" s="8" t="inlineStr">
        <is>
          <t>اقدام بعدی</t>
        </is>
      </c>
      <c r="F1" s="8" t="inlineStr">
        <is>
          <t>تاریخ پیگیری میلادی</t>
        </is>
      </c>
      <c r="G1" s="8" t="inlineStr">
        <is>
          <t>تاریخ پیگیری شمسی</t>
        </is>
      </c>
      <c r="H1" s="8" t="inlineStr">
        <is>
          <t>اولویت</t>
        </is>
      </c>
      <c r="I1" s="8" t="inlineStr">
        <is>
          <t>وضعیت</t>
        </is>
      </c>
      <c r="J1" s="8" t="inlineStr">
        <is>
          <t>وضعیت سررسید</t>
        </is>
      </c>
      <c r="K1" s="8" t="inlineStr">
        <is>
          <t>نتیجه/توضیحات</t>
        </is>
      </c>
    </row>
    <row r="2">
      <c r="A2" s="10" t="n"/>
      <c r="B2" s="9" t="inlineStr">
        <is>
          <t>رستگار صنعت پارس</t>
        </is>
      </c>
      <c r="C2" s="9" t="inlineStr"/>
      <c r="D2" s="9" t="inlineStr">
        <is>
          <t>بررسی بدهی مشتری/تامین‌کننده</t>
        </is>
      </c>
      <c r="E2" s="9" t="inlineStr">
        <is>
          <t>دریافت ریز حساب و تطبیق</t>
        </is>
      </c>
      <c r="F2" s="10" t="n"/>
      <c r="G2" s="9" t="inlineStr"/>
      <c r="H2" s="9" t="inlineStr">
        <is>
          <t>متوسط</t>
        </is>
      </c>
      <c r="I2" s="9" t="inlineStr">
        <is>
          <t>باز</t>
        </is>
      </c>
      <c r="J2" s="9">
        <f>IF(F2="","",IF(I2="انجام شده","انجام شده",IF(F2&lt;TODAY(),"عقب‌افتاده",IF(F2=TODAY(),"امروز",IF(F2&lt;=TODAY()+7,"تا ۷ روز","آینده")))))</f>
        <v/>
      </c>
      <c r="K2" s="9" t="inlineStr"/>
    </row>
    <row r="3">
      <c r="A3" s="10" t="n"/>
      <c r="B3" s="9" t="inlineStr">
        <is>
          <t>کیوان الکترونیک ایرانیان</t>
        </is>
      </c>
      <c r="C3" s="9" t="inlineStr"/>
      <c r="D3" s="9" t="inlineStr">
        <is>
          <t>تکمیل مدارک بیمه/مالیات</t>
        </is>
      </c>
      <c r="E3" s="9" t="inlineStr">
        <is>
          <t>پیگیری مدارک ناقص</t>
        </is>
      </c>
      <c r="F3" s="10" t="n"/>
      <c r="G3" s="9" t="inlineStr"/>
      <c r="H3" s="9" t="inlineStr">
        <is>
          <t>بالا</t>
        </is>
      </c>
      <c r="I3" s="9" t="inlineStr">
        <is>
          <t>باز</t>
        </is>
      </c>
      <c r="J3" s="9">
        <f>IF(F3="","",IF(I3="انجام شده","انجام شده",IF(F3&lt;TODAY(),"عقب‌افتاده",IF(F3=TODAY(),"امروز",IF(F3&lt;=TODAY()+7,"تا ۷ روز","آینده")))))</f>
        <v/>
      </c>
      <c r="K3" s="9" t="inlineStr"/>
    </row>
    <row r="4">
      <c r="A4" s="10" t="inlineStr"/>
      <c r="B4" s="9" t="inlineStr"/>
      <c r="C4" s="9" t="inlineStr"/>
      <c r="D4" s="9" t="inlineStr"/>
      <c r="E4" s="9" t="inlineStr"/>
      <c r="F4" s="10" t="inlineStr"/>
      <c r="G4" s="9" t="inlineStr"/>
      <c r="H4" s="9" t="inlineStr"/>
      <c r="I4" s="9" t="inlineStr"/>
      <c r="J4" s="9">
        <f>IF(F4="","",IF(I4="انجام شده","انجام شده",IF(F4&lt;TODAY(),"عقب‌افتاده",IF(F4=TODAY(),"امروز",IF(F4&lt;=TODAY()+7,"تا ۷ روز","آینده")))))</f>
        <v/>
      </c>
      <c r="K4" s="9" t="inlineStr"/>
    </row>
    <row r="5">
      <c r="A5" s="10" t="inlineStr"/>
      <c r="B5" s="9" t="inlineStr"/>
      <c r="C5" s="9" t="inlineStr"/>
      <c r="D5" s="9" t="inlineStr"/>
      <c r="E5" s="9" t="inlineStr"/>
      <c r="F5" s="10" t="inlineStr"/>
      <c r="G5" s="9" t="inlineStr"/>
      <c r="H5" s="9" t="inlineStr"/>
      <c r="I5" s="9" t="inlineStr"/>
      <c r="J5" s="9">
        <f>IF(F5="","",IF(I5="انجام شده","انجام شده",IF(F5&lt;TODAY(),"عقب‌افتاده",IF(F5=TODAY(),"امروز",IF(F5&lt;=TODAY()+7,"تا ۷ روز","آینده")))))</f>
        <v/>
      </c>
      <c r="K5" s="9" t="inlineStr"/>
    </row>
    <row r="6">
      <c r="A6" s="10" t="inlineStr"/>
      <c r="B6" s="9" t="inlineStr"/>
      <c r="C6" s="9" t="inlineStr"/>
      <c r="D6" s="9" t="inlineStr"/>
      <c r="E6" s="9" t="inlineStr"/>
      <c r="F6" s="10" t="inlineStr"/>
      <c r="G6" s="9" t="inlineStr"/>
      <c r="H6" s="9" t="inlineStr"/>
      <c r="I6" s="9" t="inlineStr"/>
      <c r="J6" s="9">
        <f>IF(F6="","",IF(I6="انجام شده","انجام شده",IF(F6&lt;TODAY(),"عقب‌افتاده",IF(F6=TODAY(),"امروز",IF(F6&lt;=TODAY()+7,"تا ۷ روز","آینده")))))</f>
        <v/>
      </c>
      <c r="K6" s="9" t="inlineStr"/>
    </row>
    <row r="7">
      <c r="A7" s="10" t="inlineStr"/>
      <c r="B7" s="9" t="inlineStr"/>
      <c r="C7" s="9" t="inlineStr"/>
      <c r="D7" s="9" t="inlineStr"/>
      <c r="E7" s="9" t="inlineStr"/>
      <c r="F7" s="10" t="inlineStr"/>
      <c r="G7" s="9" t="inlineStr"/>
      <c r="H7" s="9" t="inlineStr"/>
      <c r="I7" s="9" t="inlineStr"/>
      <c r="J7" s="9">
        <f>IF(F7="","",IF(I7="انجام شده","انجام شده",IF(F7&lt;TODAY(),"عقب‌افتاده",IF(F7=TODAY(),"امروز",IF(F7&lt;=TODAY()+7,"تا ۷ روز","آینده")))))</f>
        <v/>
      </c>
      <c r="K7" s="9" t="inlineStr"/>
    </row>
    <row r="8">
      <c r="A8" s="10" t="inlineStr"/>
      <c r="B8" s="9" t="inlineStr"/>
      <c r="C8" s="9" t="inlineStr"/>
      <c r="D8" s="9" t="inlineStr"/>
      <c r="E8" s="9" t="inlineStr"/>
      <c r="F8" s="10" t="inlineStr"/>
      <c r="G8" s="9" t="inlineStr"/>
      <c r="H8" s="9" t="inlineStr"/>
      <c r="I8" s="9" t="inlineStr"/>
      <c r="J8" s="9">
        <f>IF(F8="","",IF(I8="انجام شده","انجام شده",IF(F8&lt;TODAY(),"عقب‌افتاده",IF(F8=TODAY(),"امروز",IF(F8&lt;=TODAY()+7,"تا ۷ روز","آینده")))))</f>
        <v/>
      </c>
      <c r="K8" s="9" t="inlineStr"/>
    </row>
    <row r="9">
      <c r="A9" s="10" t="inlineStr"/>
      <c r="B9" s="9" t="inlineStr"/>
      <c r="C9" s="9" t="inlineStr"/>
      <c r="D9" s="9" t="inlineStr"/>
      <c r="E9" s="9" t="inlineStr"/>
      <c r="F9" s="10" t="inlineStr"/>
      <c r="G9" s="9" t="inlineStr"/>
      <c r="H9" s="9" t="inlineStr"/>
      <c r="I9" s="9" t="inlineStr"/>
      <c r="J9" s="9">
        <f>IF(F9="","",IF(I9="انجام شده","انجام شده",IF(F9&lt;TODAY(),"عقب‌افتاده",IF(F9=TODAY(),"امروز",IF(F9&lt;=TODAY()+7,"تا ۷ روز","آینده")))))</f>
        <v/>
      </c>
      <c r="K9" s="9" t="inlineStr"/>
    </row>
    <row r="10">
      <c r="A10" s="10" t="inlineStr"/>
      <c r="B10" s="9" t="inlineStr"/>
      <c r="C10" s="9" t="inlineStr"/>
      <c r="D10" s="9" t="inlineStr"/>
      <c r="E10" s="9" t="inlineStr"/>
      <c r="F10" s="10" t="inlineStr"/>
      <c r="G10" s="9" t="inlineStr"/>
      <c r="H10" s="9" t="inlineStr"/>
      <c r="I10" s="9" t="inlineStr"/>
      <c r="J10" s="9">
        <f>IF(F10="","",IF(I10="انجام شده","انجام شده",IF(F10&lt;TODAY(),"عقب‌افتاده",IF(F10=TODAY(),"امروز",IF(F10&lt;=TODAY()+7,"تا ۷ روز","آینده")))))</f>
        <v/>
      </c>
      <c r="K10" s="9" t="inlineStr"/>
    </row>
    <row r="11">
      <c r="A11" s="10" t="inlineStr"/>
      <c r="B11" s="9" t="inlineStr"/>
      <c r="C11" s="9" t="inlineStr"/>
      <c r="D11" s="9" t="inlineStr"/>
      <c r="E11" s="9" t="inlineStr"/>
      <c r="F11" s="10" t="inlineStr"/>
      <c r="G11" s="9" t="inlineStr"/>
      <c r="H11" s="9" t="inlineStr"/>
      <c r="I11" s="9" t="inlineStr"/>
      <c r="J11" s="9">
        <f>IF(F11="","",IF(I11="انجام شده","انجام شده",IF(F11&lt;TODAY(),"عقب‌افتاده",IF(F11=TODAY(),"امروز",IF(F11&lt;=TODAY()+7,"تا ۷ روز","آینده")))))</f>
        <v/>
      </c>
      <c r="K11" s="9" t="inlineStr"/>
    </row>
    <row r="12">
      <c r="A12" s="10" t="inlineStr"/>
      <c r="B12" s="9" t="inlineStr"/>
      <c r="C12" s="9" t="inlineStr"/>
      <c r="D12" s="9" t="inlineStr"/>
      <c r="E12" s="9" t="inlineStr"/>
      <c r="F12" s="10" t="inlineStr"/>
      <c r="G12" s="9" t="inlineStr"/>
      <c r="H12" s="9" t="inlineStr"/>
      <c r="I12" s="9" t="inlineStr"/>
      <c r="J12" s="9">
        <f>IF(F12="","",IF(I12="انجام شده","انجام شده",IF(F12&lt;TODAY(),"عقب‌افتاده",IF(F12=TODAY(),"امروز",IF(F12&lt;=TODAY()+7,"تا ۷ روز","آینده")))))</f>
        <v/>
      </c>
      <c r="K12" s="9" t="inlineStr"/>
    </row>
    <row r="13">
      <c r="A13" s="10" t="inlineStr"/>
      <c r="B13" s="9" t="inlineStr"/>
      <c r="C13" s="9" t="inlineStr"/>
      <c r="D13" s="9" t="inlineStr"/>
      <c r="E13" s="9" t="inlineStr"/>
      <c r="F13" s="10" t="inlineStr"/>
      <c r="G13" s="9" t="inlineStr"/>
      <c r="H13" s="9" t="inlineStr"/>
      <c r="I13" s="9" t="inlineStr"/>
      <c r="J13" s="9">
        <f>IF(F13="","",IF(I13="انجام شده","انجام شده",IF(F13&lt;TODAY(),"عقب‌افتاده",IF(F13=TODAY(),"امروز",IF(F13&lt;=TODAY()+7,"تا ۷ روز","آینده")))))</f>
        <v/>
      </c>
      <c r="K13" s="9" t="inlineStr"/>
    </row>
    <row r="14">
      <c r="A14" s="10" t="inlineStr"/>
      <c r="B14" s="9" t="inlineStr"/>
      <c r="C14" s="9" t="inlineStr"/>
      <c r="D14" s="9" t="inlineStr"/>
      <c r="E14" s="9" t="inlineStr"/>
      <c r="F14" s="10" t="inlineStr"/>
      <c r="G14" s="9" t="inlineStr"/>
      <c r="H14" s="9" t="inlineStr"/>
      <c r="I14" s="9" t="inlineStr"/>
      <c r="J14" s="9">
        <f>IF(F14="","",IF(I14="انجام شده","انجام شده",IF(F14&lt;TODAY(),"عقب‌افتاده",IF(F14=TODAY(),"امروز",IF(F14&lt;=TODAY()+7,"تا ۷ روز","آینده")))))</f>
        <v/>
      </c>
      <c r="K14" s="9" t="inlineStr"/>
    </row>
    <row r="15">
      <c r="A15" s="10" t="inlineStr"/>
      <c r="B15" s="9" t="inlineStr"/>
      <c r="C15" s="9" t="inlineStr"/>
      <c r="D15" s="9" t="inlineStr"/>
      <c r="E15" s="9" t="inlineStr"/>
      <c r="F15" s="10" t="inlineStr"/>
      <c r="G15" s="9" t="inlineStr"/>
      <c r="H15" s="9" t="inlineStr"/>
      <c r="I15" s="9" t="inlineStr"/>
      <c r="J15" s="9">
        <f>IF(F15="","",IF(I15="انجام شده","انجام شده",IF(F15&lt;TODAY(),"عقب‌افتاده",IF(F15=TODAY(),"امروز",IF(F15&lt;=TODAY()+7,"تا ۷ روز","آینده")))))</f>
        <v/>
      </c>
      <c r="K15" s="9" t="inlineStr"/>
    </row>
    <row r="16">
      <c r="A16" s="10" t="inlineStr"/>
      <c r="B16" s="9" t="inlineStr"/>
      <c r="C16" s="9" t="inlineStr"/>
      <c r="D16" s="9" t="inlineStr"/>
      <c r="E16" s="9" t="inlineStr"/>
      <c r="F16" s="10" t="inlineStr"/>
      <c r="G16" s="9" t="inlineStr"/>
      <c r="H16" s="9" t="inlineStr"/>
      <c r="I16" s="9" t="inlineStr"/>
      <c r="J16" s="9">
        <f>IF(F16="","",IF(I16="انجام شده","انجام شده",IF(F16&lt;TODAY(),"عقب‌افتاده",IF(F16=TODAY(),"امروز",IF(F16&lt;=TODAY()+7,"تا ۷ روز","آینده")))))</f>
        <v/>
      </c>
      <c r="K16" s="9" t="inlineStr"/>
    </row>
    <row r="17">
      <c r="A17" s="10" t="inlineStr"/>
      <c r="B17" s="9" t="inlineStr"/>
      <c r="C17" s="9" t="inlineStr"/>
      <c r="D17" s="9" t="inlineStr"/>
      <c r="E17" s="9" t="inlineStr"/>
      <c r="F17" s="10" t="inlineStr"/>
      <c r="G17" s="9" t="inlineStr"/>
      <c r="H17" s="9" t="inlineStr"/>
      <c r="I17" s="9" t="inlineStr"/>
      <c r="J17" s="9">
        <f>IF(F17="","",IF(I17="انجام شده","انجام شده",IF(F17&lt;TODAY(),"عقب‌افتاده",IF(F17=TODAY(),"امروز",IF(F17&lt;=TODAY()+7,"تا ۷ روز","آینده")))))</f>
        <v/>
      </c>
      <c r="K17" s="9" t="inlineStr"/>
    </row>
    <row r="18">
      <c r="A18" s="10" t="inlineStr"/>
      <c r="B18" s="9" t="inlineStr"/>
      <c r="C18" s="9" t="inlineStr"/>
      <c r="D18" s="9" t="inlineStr"/>
      <c r="E18" s="9" t="inlineStr"/>
      <c r="F18" s="10" t="inlineStr"/>
      <c r="G18" s="9" t="inlineStr"/>
      <c r="H18" s="9" t="inlineStr"/>
      <c r="I18" s="9" t="inlineStr"/>
      <c r="J18" s="9">
        <f>IF(F18="","",IF(I18="انجام شده","انجام شده",IF(F18&lt;TODAY(),"عقب‌افتاده",IF(F18=TODAY(),"امروز",IF(F18&lt;=TODAY()+7,"تا ۷ روز","آینده")))))</f>
        <v/>
      </c>
      <c r="K18" s="9" t="inlineStr"/>
    </row>
    <row r="19">
      <c r="A19" s="10" t="inlineStr"/>
      <c r="B19" s="9" t="inlineStr"/>
      <c r="C19" s="9" t="inlineStr"/>
      <c r="D19" s="9" t="inlineStr"/>
      <c r="E19" s="9" t="inlineStr"/>
      <c r="F19" s="10" t="inlineStr"/>
      <c r="G19" s="9" t="inlineStr"/>
      <c r="H19" s="9" t="inlineStr"/>
      <c r="I19" s="9" t="inlineStr"/>
      <c r="J19" s="9">
        <f>IF(F19="","",IF(I19="انجام شده","انجام شده",IF(F19&lt;TODAY(),"عقب‌افتاده",IF(F19=TODAY(),"امروز",IF(F19&lt;=TODAY()+7,"تا ۷ روز","آینده")))))</f>
        <v/>
      </c>
      <c r="K19" s="9" t="inlineStr"/>
    </row>
    <row r="20">
      <c r="A20" s="10" t="inlineStr"/>
      <c r="B20" s="9" t="inlineStr"/>
      <c r="C20" s="9" t="inlineStr"/>
      <c r="D20" s="9" t="inlineStr"/>
      <c r="E20" s="9" t="inlineStr"/>
      <c r="F20" s="10" t="inlineStr"/>
      <c r="G20" s="9" t="inlineStr"/>
      <c r="H20" s="9" t="inlineStr"/>
      <c r="I20" s="9" t="inlineStr"/>
      <c r="J20" s="9">
        <f>IF(F20="","",IF(I20="انجام شده","انجام شده",IF(F20&lt;TODAY(),"عقب‌افتاده",IF(F20=TODAY(),"امروز",IF(F20&lt;=TODAY()+7,"تا ۷ روز","آینده")))))</f>
        <v/>
      </c>
      <c r="K20" s="9" t="inlineStr"/>
    </row>
    <row r="21">
      <c r="A21" s="10" t="inlineStr"/>
      <c r="B21" s="9" t="inlineStr"/>
      <c r="C21" s="9" t="inlineStr"/>
      <c r="D21" s="9" t="inlineStr"/>
      <c r="E21" s="9" t="inlineStr"/>
      <c r="F21" s="10" t="inlineStr"/>
      <c r="G21" s="9" t="inlineStr"/>
      <c r="H21" s="9" t="inlineStr"/>
      <c r="I21" s="9" t="inlineStr"/>
      <c r="J21" s="9">
        <f>IF(F21="","",IF(I21="انجام شده","انجام شده",IF(F21&lt;TODAY(),"عقب‌افتاده",IF(F21=TODAY(),"امروز",IF(F21&lt;=TODAY()+7,"تا ۷ روز","آینده")))))</f>
        <v/>
      </c>
      <c r="K21" s="9" t="inlineStr"/>
    </row>
    <row r="22">
      <c r="A22" s="10" t="inlineStr"/>
      <c r="B22" s="9" t="inlineStr"/>
      <c r="C22" s="9" t="inlineStr"/>
      <c r="D22" s="9" t="inlineStr"/>
      <c r="E22" s="9" t="inlineStr"/>
      <c r="F22" s="10" t="inlineStr"/>
      <c r="G22" s="9" t="inlineStr"/>
      <c r="H22" s="9" t="inlineStr"/>
      <c r="I22" s="9" t="inlineStr"/>
      <c r="J22" s="9">
        <f>IF(F22="","",IF(I22="انجام شده","انجام شده",IF(F22&lt;TODAY(),"عقب‌افتاده",IF(F22=TODAY(),"امروز",IF(F22&lt;=TODAY()+7,"تا ۷ روز","آینده")))))</f>
        <v/>
      </c>
      <c r="K22" s="9" t="inlineStr"/>
    </row>
    <row r="23">
      <c r="A23" s="10" t="inlineStr"/>
      <c r="B23" s="9" t="inlineStr"/>
      <c r="C23" s="9" t="inlineStr"/>
      <c r="D23" s="9" t="inlineStr"/>
      <c r="E23" s="9" t="inlineStr"/>
      <c r="F23" s="10" t="inlineStr"/>
      <c r="G23" s="9" t="inlineStr"/>
      <c r="H23" s="9" t="inlineStr"/>
      <c r="I23" s="9" t="inlineStr"/>
      <c r="J23" s="9">
        <f>IF(F23="","",IF(I23="انجام شده","انجام شده",IF(F23&lt;TODAY(),"عقب‌افتاده",IF(F23=TODAY(),"امروز",IF(F23&lt;=TODAY()+7,"تا ۷ روز","آینده")))))</f>
        <v/>
      </c>
      <c r="K23" s="9" t="inlineStr"/>
    </row>
    <row r="24">
      <c r="A24" s="10" t="inlineStr"/>
      <c r="B24" s="9" t="inlineStr"/>
      <c r="C24" s="9" t="inlineStr"/>
      <c r="D24" s="9" t="inlineStr"/>
      <c r="E24" s="9" t="inlineStr"/>
      <c r="F24" s="10" t="inlineStr"/>
      <c r="G24" s="9" t="inlineStr"/>
      <c r="H24" s="9" t="inlineStr"/>
      <c r="I24" s="9" t="inlineStr"/>
      <c r="J24" s="9">
        <f>IF(F24="","",IF(I24="انجام شده","انجام شده",IF(F24&lt;TODAY(),"عقب‌افتاده",IF(F24=TODAY(),"امروز",IF(F24&lt;=TODAY()+7,"تا ۷ روز","آینده")))))</f>
        <v/>
      </c>
      <c r="K24" s="9" t="inlineStr"/>
    </row>
    <row r="25">
      <c r="A25" s="10" t="inlineStr"/>
      <c r="B25" s="9" t="inlineStr"/>
      <c r="C25" s="9" t="inlineStr"/>
      <c r="D25" s="9" t="inlineStr"/>
      <c r="E25" s="9" t="inlineStr"/>
      <c r="F25" s="10" t="inlineStr"/>
      <c r="G25" s="9" t="inlineStr"/>
      <c r="H25" s="9" t="inlineStr"/>
      <c r="I25" s="9" t="inlineStr"/>
      <c r="J25" s="9">
        <f>IF(F25="","",IF(I25="انجام شده","انجام شده",IF(F25&lt;TODAY(),"عقب‌افتاده",IF(F25=TODAY(),"امروز",IF(F25&lt;=TODAY()+7,"تا ۷ روز","آینده")))))</f>
        <v/>
      </c>
      <c r="K25" s="9" t="inlineStr"/>
    </row>
    <row r="26">
      <c r="A26" s="10" t="inlineStr"/>
      <c r="B26" s="9" t="inlineStr"/>
      <c r="C26" s="9" t="inlineStr"/>
      <c r="D26" s="9" t="inlineStr"/>
      <c r="E26" s="9" t="inlineStr"/>
      <c r="F26" s="10" t="inlineStr"/>
      <c r="G26" s="9" t="inlineStr"/>
      <c r="H26" s="9" t="inlineStr"/>
      <c r="I26" s="9" t="inlineStr"/>
      <c r="J26" s="9">
        <f>IF(F26="","",IF(I26="انجام شده","انجام شده",IF(F26&lt;TODAY(),"عقب‌افتاده",IF(F26=TODAY(),"امروز",IF(F26&lt;=TODAY()+7,"تا ۷ روز","آینده")))))</f>
        <v/>
      </c>
      <c r="K26" s="9" t="inlineStr"/>
    </row>
    <row r="27">
      <c r="A27" s="10" t="inlineStr"/>
      <c r="B27" s="9" t="inlineStr"/>
      <c r="C27" s="9" t="inlineStr"/>
      <c r="D27" s="9" t="inlineStr"/>
      <c r="E27" s="9" t="inlineStr"/>
      <c r="F27" s="10" t="inlineStr"/>
      <c r="G27" s="9" t="inlineStr"/>
      <c r="H27" s="9" t="inlineStr"/>
      <c r="I27" s="9" t="inlineStr"/>
      <c r="J27" s="9">
        <f>IF(F27="","",IF(I27="انجام شده","انجام شده",IF(F27&lt;TODAY(),"عقب‌افتاده",IF(F27=TODAY(),"امروز",IF(F27&lt;=TODAY()+7,"تا ۷ روز","آینده")))))</f>
        <v/>
      </c>
      <c r="K27" s="9" t="inlineStr"/>
    </row>
    <row r="28">
      <c r="A28" s="10" t="inlineStr"/>
      <c r="B28" s="9" t="inlineStr"/>
      <c r="C28" s="9" t="inlineStr"/>
      <c r="D28" s="9" t="inlineStr"/>
      <c r="E28" s="9" t="inlineStr"/>
      <c r="F28" s="10" t="inlineStr"/>
      <c r="G28" s="9" t="inlineStr"/>
      <c r="H28" s="9" t="inlineStr"/>
      <c r="I28" s="9" t="inlineStr"/>
      <c r="J28" s="9">
        <f>IF(F28="","",IF(I28="انجام شده","انجام شده",IF(F28&lt;TODAY(),"عقب‌افتاده",IF(F28=TODAY(),"امروز",IF(F28&lt;=TODAY()+7,"تا ۷ روز","آینده")))))</f>
        <v/>
      </c>
      <c r="K28" s="9" t="inlineStr"/>
    </row>
    <row r="29">
      <c r="A29" s="10" t="inlineStr"/>
      <c r="B29" s="9" t="inlineStr"/>
      <c r="C29" s="9" t="inlineStr"/>
      <c r="D29" s="9" t="inlineStr"/>
      <c r="E29" s="9" t="inlineStr"/>
      <c r="F29" s="10" t="inlineStr"/>
      <c r="G29" s="9" t="inlineStr"/>
      <c r="H29" s="9" t="inlineStr"/>
      <c r="I29" s="9" t="inlineStr"/>
      <c r="J29" s="9">
        <f>IF(F29="","",IF(I29="انجام شده","انجام شده",IF(F29&lt;TODAY(),"عقب‌افتاده",IF(F29=TODAY(),"امروز",IF(F29&lt;=TODAY()+7,"تا ۷ روز","آینده")))))</f>
        <v/>
      </c>
      <c r="K29" s="9" t="inlineStr"/>
    </row>
    <row r="30">
      <c r="A30" s="10" t="inlineStr"/>
      <c r="B30" s="9" t="inlineStr"/>
      <c r="C30" s="9" t="inlineStr"/>
      <c r="D30" s="9" t="inlineStr"/>
      <c r="E30" s="9" t="inlineStr"/>
      <c r="F30" s="10" t="inlineStr"/>
      <c r="G30" s="9" t="inlineStr"/>
      <c r="H30" s="9" t="inlineStr"/>
      <c r="I30" s="9" t="inlineStr"/>
      <c r="J30" s="9">
        <f>IF(F30="","",IF(I30="انجام شده","انجام شده",IF(F30&lt;TODAY(),"عقب‌افتاده",IF(F30=TODAY(),"امروز",IF(F30&lt;=TODAY()+7,"تا ۷ روز","آینده")))))</f>
        <v/>
      </c>
      <c r="K30" s="9" t="inlineStr"/>
    </row>
    <row r="31">
      <c r="A31" s="10" t="inlineStr"/>
      <c r="B31" s="9" t="inlineStr"/>
      <c r="C31" s="9" t="inlineStr"/>
      <c r="D31" s="9" t="inlineStr"/>
      <c r="E31" s="9" t="inlineStr"/>
      <c r="F31" s="10" t="inlineStr"/>
      <c r="G31" s="9" t="inlineStr"/>
      <c r="H31" s="9" t="inlineStr"/>
      <c r="I31" s="9" t="inlineStr"/>
      <c r="J31" s="9">
        <f>IF(F31="","",IF(I31="انجام شده","انجام شده",IF(F31&lt;TODAY(),"عقب‌افتاده",IF(F31=TODAY(),"امروز",IF(F31&lt;=TODAY()+7,"تا ۷ روز","آینده")))))</f>
        <v/>
      </c>
      <c r="K31" s="9" t="inlineStr"/>
    </row>
    <row r="32">
      <c r="A32" s="10" t="inlineStr"/>
      <c r="B32" s="9" t="inlineStr"/>
      <c r="C32" s="9" t="inlineStr"/>
      <c r="D32" s="9" t="inlineStr"/>
      <c r="E32" s="9" t="inlineStr"/>
      <c r="F32" s="10" t="inlineStr"/>
      <c r="G32" s="9" t="inlineStr"/>
      <c r="H32" s="9" t="inlineStr"/>
      <c r="I32" s="9" t="inlineStr"/>
      <c r="J32" s="9">
        <f>IF(F32="","",IF(I32="انجام شده","انجام شده",IF(F32&lt;TODAY(),"عقب‌افتاده",IF(F32=TODAY(),"امروز",IF(F32&lt;=TODAY()+7,"تا ۷ روز","آینده")))))</f>
        <v/>
      </c>
      <c r="K32" s="9" t="inlineStr"/>
    </row>
    <row r="33">
      <c r="A33" s="10" t="inlineStr"/>
      <c r="B33" s="9" t="inlineStr"/>
      <c r="C33" s="9" t="inlineStr"/>
      <c r="D33" s="9" t="inlineStr"/>
      <c r="E33" s="9" t="inlineStr"/>
      <c r="F33" s="10" t="inlineStr"/>
      <c r="G33" s="9" t="inlineStr"/>
      <c r="H33" s="9" t="inlineStr"/>
      <c r="I33" s="9" t="inlineStr"/>
      <c r="J33" s="9">
        <f>IF(F33="","",IF(I33="انجام شده","انجام شده",IF(F33&lt;TODAY(),"عقب‌افتاده",IF(F33=TODAY(),"امروز",IF(F33&lt;=TODAY()+7,"تا ۷ روز","آینده")))))</f>
        <v/>
      </c>
      <c r="K33" s="9" t="inlineStr"/>
    </row>
    <row r="34">
      <c r="A34" s="10" t="inlineStr"/>
      <c r="B34" s="9" t="inlineStr"/>
      <c r="C34" s="9" t="inlineStr"/>
      <c r="D34" s="9" t="inlineStr"/>
      <c r="E34" s="9" t="inlineStr"/>
      <c r="F34" s="10" t="inlineStr"/>
      <c r="G34" s="9" t="inlineStr"/>
      <c r="H34" s="9" t="inlineStr"/>
      <c r="I34" s="9" t="inlineStr"/>
      <c r="J34" s="9">
        <f>IF(F34="","",IF(I34="انجام شده","انجام شده",IF(F34&lt;TODAY(),"عقب‌افتاده",IF(F34=TODAY(),"امروز",IF(F34&lt;=TODAY()+7,"تا ۷ روز","آینده")))))</f>
        <v/>
      </c>
      <c r="K34" s="9" t="inlineStr"/>
    </row>
    <row r="35">
      <c r="A35" s="10" t="inlineStr"/>
      <c r="B35" s="9" t="inlineStr"/>
      <c r="C35" s="9" t="inlineStr"/>
      <c r="D35" s="9" t="inlineStr"/>
      <c r="E35" s="9" t="inlineStr"/>
      <c r="F35" s="10" t="inlineStr"/>
      <c r="G35" s="9" t="inlineStr"/>
      <c r="H35" s="9" t="inlineStr"/>
      <c r="I35" s="9" t="inlineStr"/>
      <c r="J35" s="9">
        <f>IF(F35="","",IF(I35="انجام شده","انجام شده",IF(F35&lt;TODAY(),"عقب‌افتاده",IF(F35=TODAY(),"امروز",IF(F35&lt;=TODAY()+7,"تا ۷ روز","آینده")))))</f>
        <v/>
      </c>
      <c r="K35" s="9" t="inlineStr"/>
    </row>
    <row r="36">
      <c r="A36" s="10" t="inlineStr"/>
      <c r="B36" s="9" t="inlineStr"/>
      <c r="C36" s="9" t="inlineStr"/>
      <c r="D36" s="9" t="inlineStr"/>
      <c r="E36" s="9" t="inlineStr"/>
      <c r="F36" s="10" t="inlineStr"/>
      <c r="G36" s="9" t="inlineStr"/>
      <c r="H36" s="9" t="inlineStr"/>
      <c r="I36" s="9" t="inlineStr"/>
      <c r="J36" s="9">
        <f>IF(F36="","",IF(I36="انجام شده","انجام شده",IF(F36&lt;TODAY(),"عقب‌افتاده",IF(F36=TODAY(),"امروز",IF(F36&lt;=TODAY()+7,"تا ۷ روز","آینده")))))</f>
        <v/>
      </c>
      <c r="K36" s="9" t="inlineStr"/>
    </row>
    <row r="37">
      <c r="A37" s="10" t="inlineStr"/>
      <c r="B37" s="9" t="inlineStr"/>
      <c r="C37" s="9" t="inlineStr"/>
      <c r="D37" s="9" t="inlineStr"/>
      <c r="E37" s="9" t="inlineStr"/>
      <c r="F37" s="10" t="inlineStr"/>
      <c r="G37" s="9" t="inlineStr"/>
      <c r="H37" s="9" t="inlineStr"/>
      <c r="I37" s="9" t="inlineStr"/>
      <c r="J37" s="9">
        <f>IF(F37="","",IF(I37="انجام شده","انجام شده",IF(F37&lt;TODAY(),"عقب‌افتاده",IF(F37=TODAY(),"امروز",IF(F37&lt;=TODAY()+7,"تا ۷ روز","آینده")))))</f>
        <v/>
      </c>
      <c r="K37" s="9" t="inlineStr"/>
    </row>
    <row r="38">
      <c r="A38" s="10" t="inlineStr"/>
      <c r="B38" s="9" t="inlineStr"/>
      <c r="C38" s="9" t="inlineStr"/>
      <c r="D38" s="9" t="inlineStr"/>
      <c r="E38" s="9" t="inlineStr"/>
      <c r="F38" s="10" t="inlineStr"/>
      <c r="G38" s="9" t="inlineStr"/>
      <c r="H38" s="9" t="inlineStr"/>
      <c r="I38" s="9" t="inlineStr"/>
      <c r="J38" s="9">
        <f>IF(F38="","",IF(I38="انجام شده","انجام شده",IF(F38&lt;TODAY(),"عقب‌افتاده",IF(F38=TODAY(),"امروز",IF(F38&lt;=TODAY()+7,"تا ۷ روز","آینده")))))</f>
        <v/>
      </c>
      <c r="K38" s="9" t="inlineStr"/>
    </row>
    <row r="39">
      <c r="A39" s="10" t="inlineStr"/>
      <c r="B39" s="9" t="inlineStr"/>
      <c r="C39" s="9" t="inlineStr"/>
      <c r="D39" s="9" t="inlineStr"/>
      <c r="E39" s="9" t="inlineStr"/>
      <c r="F39" s="10" t="inlineStr"/>
      <c r="G39" s="9" t="inlineStr"/>
      <c r="H39" s="9" t="inlineStr"/>
      <c r="I39" s="9" t="inlineStr"/>
      <c r="J39" s="9">
        <f>IF(F39="","",IF(I39="انجام شده","انجام شده",IF(F39&lt;TODAY(),"عقب‌افتاده",IF(F39=TODAY(),"امروز",IF(F39&lt;=TODAY()+7,"تا ۷ روز","آینده")))))</f>
        <v/>
      </c>
      <c r="K39" s="9" t="inlineStr"/>
    </row>
    <row r="40">
      <c r="A40" s="10" t="inlineStr"/>
      <c r="B40" s="9" t="inlineStr"/>
      <c r="C40" s="9" t="inlineStr"/>
      <c r="D40" s="9" t="inlineStr"/>
      <c r="E40" s="9" t="inlineStr"/>
      <c r="F40" s="10" t="inlineStr"/>
      <c r="G40" s="9" t="inlineStr"/>
      <c r="H40" s="9" t="inlineStr"/>
      <c r="I40" s="9" t="inlineStr"/>
      <c r="J40" s="9">
        <f>IF(F40="","",IF(I40="انجام شده","انجام شده",IF(F40&lt;TODAY(),"عقب‌افتاده",IF(F40=TODAY(),"امروز",IF(F40&lt;=TODAY()+7,"تا ۷ روز","آینده")))))</f>
        <v/>
      </c>
      <c r="K40" s="9" t="inlineStr"/>
    </row>
    <row r="41">
      <c r="A41" s="10" t="inlineStr"/>
      <c r="B41" s="9" t="inlineStr"/>
      <c r="C41" s="9" t="inlineStr"/>
      <c r="D41" s="9" t="inlineStr"/>
      <c r="E41" s="9" t="inlineStr"/>
      <c r="F41" s="10" t="inlineStr"/>
      <c r="G41" s="9" t="inlineStr"/>
      <c r="H41" s="9" t="inlineStr"/>
      <c r="I41" s="9" t="inlineStr"/>
      <c r="J41" s="9">
        <f>IF(F41="","",IF(I41="انجام شده","انجام شده",IF(F41&lt;TODAY(),"عقب‌افتاده",IF(F41=TODAY(),"امروز",IF(F41&lt;=TODAY()+7,"تا ۷ روز","آینده")))))</f>
        <v/>
      </c>
      <c r="K41" s="9" t="inlineStr"/>
    </row>
    <row r="42">
      <c r="A42" s="10" t="inlineStr"/>
      <c r="B42" s="9" t="inlineStr"/>
      <c r="C42" s="9" t="inlineStr"/>
      <c r="D42" s="9" t="inlineStr"/>
      <c r="E42" s="9" t="inlineStr"/>
      <c r="F42" s="10" t="inlineStr"/>
      <c r="G42" s="9" t="inlineStr"/>
      <c r="H42" s="9" t="inlineStr"/>
      <c r="I42" s="9" t="inlineStr"/>
      <c r="J42" s="9">
        <f>IF(F42="","",IF(I42="انجام شده","انجام شده",IF(F42&lt;TODAY(),"عقب‌افتاده",IF(F42=TODAY(),"امروز",IF(F42&lt;=TODAY()+7,"تا ۷ روز","آینده")))))</f>
        <v/>
      </c>
      <c r="K42" s="9" t="inlineStr"/>
    </row>
    <row r="43">
      <c r="A43" s="10" t="inlineStr"/>
      <c r="B43" s="9" t="inlineStr"/>
      <c r="C43" s="9" t="inlineStr"/>
      <c r="D43" s="9" t="inlineStr"/>
      <c r="E43" s="9" t="inlineStr"/>
      <c r="F43" s="10" t="inlineStr"/>
      <c r="G43" s="9" t="inlineStr"/>
      <c r="H43" s="9" t="inlineStr"/>
      <c r="I43" s="9" t="inlineStr"/>
      <c r="J43" s="9">
        <f>IF(F43="","",IF(I43="انجام شده","انجام شده",IF(F43&lt;TODAY(),"عقب‌افتاده",IF(F43=TODAY(),"امروز",IF(F43&lt;=TODAY()+7,"تا ۷ روز","آینده")))))</f>
        <v/>
      </c>
      <c r="K43" s="9" t="inlineStr"/>
    </row>
    <row r="44">
      <c r="A44" s="10" t="inlineStr"/>
      <c r="B44" s="9" t="inlineStr"/>
      <c r="C44" s="9" t="inlineStr"/>
      <c r="D44" s="9" t="inlineStr"/>
      <c r="E44" s="9" t="inlineStr"/>
      <c r="F44" s="10" t="inlineStr"/>
      <c r="G44" s="9" t="inlineStr"/>
      <c r="H44" s="9" t="inlineStr"/>
      <c r="I44" s="9" t="inlineStr"/>
      <c r="J44" s="9">
        <f>IF(F44="","",IF(I44="انجام شده","انجام شده",IF(F44&lt;TODAY(),"عقب‌افتاده",IF(F44=TODAY(),"امروز",IF(F44&lt;=TODAY()+7,"تا ۷ روز","آینده")))))</f>
        <v/>
      </c>
      <c r="K44" s="9" t="inlineStr"/>
    </row>
    <row r="45">
      <c r="A45" s="10" t="inlineStr"/>
      <c r="B45" s="9" t="inlineStr"/>
      <c r="C45" s="9" t="inlineStr"/>
      <c r="D45" s="9" t="inlineStr"/>
      <c r="E45" s="9" t="inlineStr"/>
      <c r="F45" s="10" t="inlineStr"/>
      <c r="G45" s="9" t="inlineStr"/>
      <c r="H45" s="9" t="inlineStr"/>
      <c r="I45" s="9" t="inlineStr"/>
      <c r="J45" s="9">
        <f>IF(F45="","",IF(I45="انجام شده","انجام شده",IF(F45&lt;TODAY(),"عقب‌افتاده",IF(F45=TODAY(),"امروز",IF(F45&lt;=TODAY()+7,"تا ۷ روز","آینده")))))</f>
        <v/>
      </c>
      <c r="K45" s="9" t="inlineStr"/>
    </row>
    <row r="46">
      <c r="A46" s="10" t="inlineStr"/>
      <c r="B46" s="9" t="inlineStr"/>
      <c r="C46" s="9" t="inlineStr"/>
      <c r="D46" s="9" t="inlineStr"/>
      <c r="E46" s="9" t="inlineStr"/>
      <c r="F46" s="10" t="inlineStr"/>
      <c r="G46" s="9" t="inlineStr"/>
      <c r="H46" s="9" t="inlineStr"/>
      <c r="I46" s="9" t="inlineStr"/>
      <c r="J46" s="9">
        <f>IF(F46="","",IF(I46="انجام شده","انجام شده",IF(F46&lt;TODAY(),"عقب‌افتاده",IF(F46=TODAY(),"امروز",IF(F46&lt;=TODAY()+7,"تا ۷ روز","آینده")))))</f>
        <v/>
      </c>
      <c r="K46" s="9" t="inlineStr"/>
    </row>
    <row r="47">
      <c r="A47" s="10" t="inlineStr"/>
      <c r="B47" s="9" t="inlineStr"/>
      <c r="C47" s="9" t="inlineStr"/>
      <c r="D47" s="9" t="inlineStr"/>
      <c r="E47" s="9" t="inlineStr"/>
      <c r="F47" s="10" t="inlineStr"/>
      <c r="G47" s="9" t="inlineStr"/>
      <c r="H47" s="9" t="inlineStr"/>
      <c r="I47" s="9" t="inlineStr"/>
      <c r="J47" s="9">
        <f>IF(F47="","",IF(I47="انجام شده","انجام شده",IF(F47&lt;TODAY(),"عقب‌افتاده",IF(F47=TODAY(),"امروز",IF(F47&lt;=TODAY()+7,"تا ۷ روز","آینده")))))</f>
        <v/>
      </c>
      <c r="K47" s="9" t="inlineStr"/>
    </row>
    <row r="48">
      <c r="A48" s="10" t="inlineStr"/>
      <c r="B48" s="9" t="inlineStr"/>
      <c r="C48" s="9" t="inlineStr"/>
      <c r="D48" s="9" t="inlineStr"/>
      <c r="E48" s="9" t="inlineStr"/>
      <c r="F48" s="10" t="inlineStr"/>
      <c r="G48" s="9" t="inlineStr"/>
      <c r="H48" s="9" t="inlineStr"/>
      <c r="I48" s="9" t="inlineStr"/>
      <c r="J48" s="9">
        <f>IF(F48="","",IF(I48="انجام شده","انجام شده",IF(F48&lt;TODAY(),"عقب‌افتاده",IF(F48=TODAY(),"امروز",IF(F48&lt;=TODAY()+7,"تا ۷ روز","آینده")))))</f>
        <v/>
      </c>
      <c r="K48" s="9" t="inlineStr"/>
    </row>
    <row r="49">
      <c r="A49" s="10" t="inlineStr"/>
      <c r="B49" s="9" t="inlineStr"/>
      <c r="C49" s="9" t="inlineStr"/>
      <c r="D49" s="9" t="inlineStr"/>
      <c r="E49" s="9" t="inlineStr"/>
      <c r="F49" s="10" t="inlineStr"/>
      <c r="G49" s="9" t="inlineStr"/>
      <c r="H49" s="9" t="inlineStr"/>
      <c r="I49" s="9" t="inlineStr"/>
      <c r="J49" s="9">
        <f>IF(F49="","",IF(I49="انجام شده","انجام شده",IF(F49&lt;TODAY(),"عقب‌افتاده",IF(F49=TODAY(),"امروز",IF(F49&lt;=TODAY()+7,"تا ۷ روز","آینده")))))</f>
        <v/>
      </c>
      <c r="K49" s="9" t="inlineStr"/>
    </row>
    <row r="50">
      <c r="A50" s="10" t="inlineStr"/>
      <c r="B50" s="9" t="inlineStr"/>
      <c r="C50" s="9" t="inlineStr"/>
      <c r="D50" s="9" t="inlineStr"/>
      <c r="E50" s="9" t="inlineStr"/>
      <c r="F50" s="10" t="inlineStr"/>
      <c r="G50" s="9" t="inlineStr"/>
      <c r="H50" s="9" t="inlineStr"/>
      <c r="I50" s="9" t="inlineStr"/>
      <c r="J50" s="9">
        <f>IF(F50="","",IF(I50="انجام شده","انجام شده",IF(F50&lt;TODAY(),"عقب‌افتاده",IF(F50=TODAY(),"امروز",IF(F50&lt;=TODAY()+7,"تا ۷ روز","آینده")))))</f>
        <v/>
      </c>
      <c r="K50" s="9" t="inlineStr"/>
    </row>
    <row r="51">
      <c r="A51" s="10" t="inlineStr"/>
      <c r="B51" s="9" t="inlineStr"/>
      <c r="C51" s="9" t="inlineStr"/>
      <c r="D51" s="9" t="inlineStr"/>
      <c r="E51" s="9" t="inlineStr"/>
      <c r="F51" s="10" t="inlineStr"/>
      <c r="G51" s="9" t="inlineStr"/>
      <c r="H51" s="9" t="inlineStr"/>
      <c r="I51" s="9" t="inlineStr"/>
      <c r="J51" s="9">
        <f>IF(F51="","",IF(I51="انجام شده","انجام شده",IF(F51&lt;TODAY(),"عقب‌افتاده",IF(F51=TODAY(),"امروز",IF(F51&lt;=TODAY()+7,"تا ۷ روز","آینده")))))</f>
        <v/>
      </c>
      <c r="K51" s="9" t="inlineStr"/>
    </row>
    <row r="52">
      <c r="A52" s="10" t="inlineStr"/>
      <c r="B52" s="9" t="inlineStr"/>
      <c r="C52" s="9" t="inlineStr"/>
      <c r="D52" s="9" t="inlineStr"/>
      <c r="E52" s="9" t="inlineStr"/>
      <c r="F52" s="10" t="inlineStr"/>
      <c r="G52" s="9" t="inlineStr"/>
      <c r="H52" s="9" t="inlineStr"/>
      <c r="I52" s="9" t="inlineStr"/>
      <c r="J52" s="9">
        <f>IF(F52="","",IF(I52="انجام شده","انجام شده",IF(F52&lt;TODAY(),"عقب‌افتاده",IF(F52=TODAY(),"امروز",IF(F52&lt;=TODAY()+7,"تا ۷ روز","آینده")))))</f>
        <v/>
      </c>
      <c r="K52" s="9" t="inlineStr"/>
    </row>
    <row r="53">
      <c r="A53" s="10" t="inlineStr"/>
      <c r="B53" s="9" t="inlineStr"/>
      <c r="C53" s="9" t="inlineStr"/>
      <c r="D53" s="9" t="inlineStr"/>
      <c r="E53" s="9" t="inlineStr"/>
      <c r="F53" s="10" t="inlineStr"/>
      <c r="G53" s="9" t="inlineStr"/>
      <c r="H53" s="9" t="inlineStr"/>
      <c r="I53" s="9" t="inlineStr"/>
      <c r="J53" s="9">
        <f>IF(F53="","",IF(I53="انجام شده","انجام شده",IF(F53&lt;TODAY(),"عقب‌افتاده",IF(F53=TODAY(),"امروز",IF(F53&lt;=TODAY()+7,"تا ۷ روز","آینده")))))</f>
        <v/>
      </c>
      <c r="K53" s="9" t="inlineStr"/>
    </row>
    <row r="54">
      <c r="A54" s="10" t="inlineStr"/>
      <c r="B54" s="9" t="inlineStr"/>
      <c r="C54" s="9" t="inlineStr"/>
      <c r="D54" s="9" t="inlineStr"/>
      <c r="E54" s="9" t="inlineStr"/>
      <c r="F54" s="10" t="inlineStr"/>
      <c r="G54" s="9" t="inlineStr"/>
      <c r="H54" s="9" t="inlineStr"/>
      <c r="I54" s="9" t="inlineStr"/>
      <c r="J54" s="9">
        <f>IF(F54="","",IF(I54="انجام شده","انجام شده",IF(F54&lt;TODAY(),"عقب‌افتاده",IF(F54=TODAY(),"امروز",IF(F54&lt;=TODAY()+7,"تا ۷ روز","آینده")))))</f>
        <v/>
      </c>
      <c r="K54" s="9" t="inlineStr"/>
    </row>
    <row r="55">
      <c r="A55" s="10" t="inlineStr"/>
      <c r="B55" s="9" t="inlineStr"/>
      <c r="C55" s="9" t="inlineStr"/>
      <c r="D55" s="9" t="inlineStr"/>
      <c r="E55" s="9" t="inlineStr"/>
      <c r="F55" s="10" t="inlineStr"/>
      <c r="G55" s="9" t="inlineStr"/>
      <c r="H55" s="9" t="inlineStr"/>
      <c r="I55" s="9" t="inlineStr"/>
      <c r="J55" s="9">
        <f>IF(F55="","",IF(I55="انجام شده","انجام شده",IF(F55&lt;TODAY(),"عقب‌افتاده",IF(F55=TODAY(),"امروز",IF(F55&lt;=TODAY()+7,"تا ۷ روز","آینده")))))</f>
        <v/>
      </c>
      <c r="K55" s="9" t="inlineStr"/>
    </row>
    <row r="56">
      <c r="A56" s="10" t="inlineStr"/>
      <c r="B56" s="9" t="inlineStr"/>
      <c r="C56" s="9" t="inlineStr"/>
      <c r="D56" s="9" t="inlineStr"/>
      <c r="E56" s="9" t="inlineStr"/>
      <c r="F56" s="10" t="inlineStr"/>
      <c r="G56" s="9" t="inlineStr"/>
      <c r="H56" s="9" t="inlineStr"/>
      <c r="I56" s="9" t="inlineStr"/>
      <c r="J56" s="9">
        <f>IF(F56="","",IF(I56="انجام شده","انجام شده",IF(F56&lt;TODAY(),"عقب‌افتاده",IF(F56=TODAY(),"امروز",IF(F56&lt;=TODAY()+7,"تا ۷ روز","آینده")))))</f>
        <v/>
      </c>
      <c r="K56" s="9" t="inlineStr"/>
    </row>
    <row r="57">
      <c r="A57" s="10" t="inlineStr"/>
      <c r="B57" s="9" t="inlineStr"/>
      <c r="C57" s="9" t="inlineStr"/>
      <c r="D57" s="9" t="inlineStr"/>
      <c r="E57" s="9" t="inlineStr"/>
      <c r="F57" s="10" t="inlineStr"/>
      <c r="G57" s="9" t="inlineStr"/>
      <c r="H57" s="9" t="inlineStr"/>
      <c r="I57" s="9" t="inlineStr"/>
      <c r="J57" s="9">
        <f>IF(F57="","",IF(I57="انجام شده","انجام شده",IF(F57&lt;TODAY(),"عقب‌افتاده",IF(F57=TODAY(),"امروز",IF(F57&lt;=TODAY()+7,"تا ۷ روز","آینده")))))</f>
        <v/>
      </c>
      <c r="K57" s="9" t="inlineStr"/>
    </row>
    <row r="58">
      <c r="A58" s="10" t="inlineStr"/>
      <c r="B58" s="9" t="inlineStr"/>
      <c r="C58" s="9" t="inlineStr"/>
      <c r="D58" s="9" t="inlineStr"/>
      <c r="E58" s="9" t="inlineStr"/>
      <c r="F58" s="10" t="inlineStr"/>
      <c r="G58" s="9" t="inlineStr"/>
      <c r="H58" s="9" t="inlineStr"/>
      <c r="I58" s="9" t="inlineStr"/>
      <c r="J58" s="9">
        <f>IF(F58="","",IF(I58="انجام شده","انجام شده",IF(F58&lt;TODAY(),"عقب‌افتاده",IF(F58=TODAY(),"امروز",IF(F58&lt;=TODAY()+7,"تا ۷ روز","آینده")))))</f>
        <v/>
      </c>
      <c r="K58" s="9" t="inlineStr"/>
    </row>
    <row r="59">
      <c r="A59" s="10" t="inlineStr"/>
      <c r="B59" s="9" t="inlineStr"/>
      <c r="C59" s="9" t="inlineStr"/>
      <c r="D59" s="9" t="inlineStr"/>
      <c r="E59" s="9" t="inlineStr"/>
      <c r="F59" s="10" t="inlineStr"/>
      <c r="G59" s="9" t="inlineStr"/>
      <c r="H59" s="9" t="inlineStr"/>
      <c r="I59" s="9" t="inlineStr"/>
      <c r="J59" s="9">
        <f>IF(F59="","",IF(I59="انجام شده","انجام شده",IF(F59&lt;TODAY(),"عقب‌افتاده",IF(F59=TODAY(),"امروز",IF(F59&lt;=TODAY()+7,"تا ۷ روز","آینده")))))</f>
        <v/>
      </c>
      <c r="K59" s="9" t="inlineStr"/>
    </row>
    <row r="60">
      <c r="A60" s="10" t="inlineStr"/>
      <c r="B60" s="9" t="inlineStr"/>
      <c r="C60" s="9" t="inlineStr"/>
      <c r="D60" s="9" t="inlineStr"/>
      <c r="E60" s="9" t="inlineStr"/>
      <c r="F60" s="10" t="inlineStr"/>
      <c r="G60" s="9" t="inlineStr"/>
      <c r="H60" s="9" t="inlineStr"/>
      <c r="I60" s="9" t="inlineStr"/>
      <c r="J60" s="9">
        <f>IF(F60="","",IF(I60="انجام شده","انجام شده",IF(F60&lt;TODAY(),"عقب‌افتاده",IF(F60=TODAY(),"امروز",IF(F60&lt;=TODAY()+7,"تا ۷ روز","آینده")))))</f>
        <v/>
      </c>
      <c r="K60" s="9" t="inlineStr"/>
    </row>
    <row r="61">
      <c r="A61" s="10" t="inlineStr"/>
      <c r="B61" s="9" t="inlineStr"/>
      <c r="C61" s="9" t="inlineStr"/>
      <c r="D61" s="9" t="inlineStr"/>
      <c r="E61" s="9" t="inlineStr"/>
      <c r="F61" s="10" t="inlineStr"/>
      <c r="G61" s="9" t="inlineStr"/>
      <c r="H61" s="9" t="inlineStr"/>
      <c r="I61" s="9" t="inlineStr"/>
      <c r="J61" s="9">
        <f>IF(F61="","",IF(I61="انجام شده","انجام شده",IF(F61&lt;TODAY(),"عقب‌افتاده",IF(F61=TODAY(),"امروز",IF(F61&lt;=TODAY()+7,"تا ۷ روز","آینده")))))</f>
        <v/>
      </c>
      <c r="K61" s="9" t="inlineStr"/>
    </row>
    <row r="62">
      <c r="A62" s="10" t="inlineStr"/>
      <c r="B62" s="9" t="inlineStr"/>
      <c r="C62" s="9" t="inlineStr"/>
      <c r="D62" s="9" t="inlineStr"/>
      <c r="E62" s="9" t="inlineStr"/>
      <c r="F62" s="10" t="inlineStr"/>
      <c r="G62" s="9" t="inlineStr"/>
      <c r="H62" s="9" t="inlineStr"/>
      <c r="I62" s="9" t="inlineStr"/>
      <c r="J62" s="9">
        <f>IF(F62="","",IF(I62="انجام شده","انجام شده",IF(F62&lt;TODAY(),"عقب‌افتاده",IF(F62=TODAY(),"امروز",IF(F62&lt;=TODAY()+7,"تا ۷ روز","آینده")))))</f>
        <v/>
      </c>
      <c r="K62" s="9" t="inlineStr"/>
    </row>
    <row r="63">
      <c r="A63" s="10" t="inlineStr"/>
      <c r="B63" s="9" t="inlineStr"/>
      <c r="C63" s="9" t="inlineStr"/>
      <c r="D63" s="9" t="inlineStr"/>
      <c r="E63" s="9" t="inlineStr"/>
      <c r="F63" s="10" t="inlineStr"/>
      <c r="G63" s="9" t="inlineStr"/>
      <c r="H63" s="9" t="inlineStr"/>
      <c r="I63" s="9" t="inlineStr"/>
      <c r="J63" s="9">
        <f>IF(F63="","",IF(I63="انجام شده","انجام شده",IF(F63&lt;TODAY(),"عقب‌افتاده",IF(F63=TODAY(),"امروز",IF(F63&lt;=TODAY()+7,"تا ۷ روز","آینده")))))</f>
        <v/>
      </c>
      <c r="K63" s="9" t="inlineStr"/>
    </row>
    <row r="64">
      <c r="A64" s="10" t="inlineStr"/>
      <c r="B64" s="9" t="inlineStr"/>
      <c r="C64" s="9" t="inlineStr"/>
      <c r="D64" s="9" t="inlineStr"/>
      <c r="E64" s="9" t="inlineStr"/>
      <c r="F64" s="10" t="inlineStr"/>
      <c r="G64" s="9" t="inlineStr"/>
      <c r="H64" s="9" t="inlineStr"/>
      <c r="I64" s="9" t="inlineStr"/>
      <c r="J64" s="9">
        <f>IF(F64="","",IF(I64="انجام شده","انجام شده",IF(F64&lt;TODAY(),"عقب‌افتاده",IF(F64=TODAY(),"امروز",IF(F64&lt;=TODAY()+7,"تا ۷ روز","آینده")))))</f>
        <v/>
      </c>
      <c r="K64" s="9" t="inlineStr"/>
    </row>
    <row r="65">
      <c r="A65" s="10" t="inlineStr"/>
      <c r="B65" s="9" t="inlineStr"/>
      <c r="C65" s="9" t="inlineStr"/>
      <c r="D65" s="9" t="inlineStr"/>
      <c r="E65" s="9" t="inlineStr"/>
      <c r="F65" s="10" t="inlineStr"/>
      <c r="G65" s="9" t="inlineStr"/>
      <c r="H65" s="9" t="inlineStr"/>
      <c r="I65" s="9" t="inlineStr"/>
      <c r="J65" s="9">
        <f>IF(F65="","",IF(I65="انجام شده","انجام شده",IF(F65&lt;TODAY(),"عقب‌افتاده",IF(F65=TODAY(),"امروز",IF(F65&lt;=TODAY()+7,"تا ۷ روز","آینده")))))</f>
        <v/>
      </c>
      <c r="K65" s="9" t="inlineStr"/>
    </row>
    <row r="66">
      <c r="A66" s="10" t="inlineStr"/>
      <c r="B66" s="9" t="inlineStr"/>
      <c r="C66" s="9" t="inlineStr"/>
      <c r="D66" s="9" t="inlineStr"/>
      <c r="E66" s="9" t="inlineStr"/>
      <c r="F66" s="10" t="inlineStr"/>
      <c r="G66" s="9" t="inlineStr"/>
      <c r="H66" s="9" t="inlineStr"/>
      <c r="I66" s="9" t="inlineStr"/>
      <c r="J66" s="9">
        <f>IF(F66="","",IF(I66="انجام شده","انجام شده",IF(F66&lt;TODAY(),"عقب‌افتاده",IF(F66=TODAY(),"امروز",IF(F66&lt;=TODAY()+7,"تا ۷ روز","آینده")))))</f>
        <v/>
      </c>
      <c r="K66" s="9" t="inlineStr"/>
    </row>
    <row r="67">
      <c r="A67" s="10" t="inlineStr"/>
      <c r="B67" s="9" t="inlineStr"/>
      <c r="C67" s="9" t="inlineStr"/>
      <c r="D67" s="9" t="inlineStr"/>
      <c r="E67" s="9" t="inlineStr"/>
      <c r="F67" s="10" t="inlineStr"/>
      <c r="G67" s="9" t="inlineStr"/>
      <c r="H67" s="9" t="inlineStr"/>
      <c r="I67" s="9" t="inlineStr"/>
      <c r="J67" s="9">
        <f>IF(F67="","",IF(I67="انجام شده","انجام شده",IF(F67&lt;TODAY(),"عقب‌افتاده",IF(F67=TODAY(),"امروز",IF(F67&lt;=TODAY()+7,"تا ۷ روز","آینده")))))</f>
        <v/>
      </c>
      <c r="K67" s="9" t="inlineStr"/>
    </row>
    <row r="68">
      <c r="A68" s="10" t="inlineStr"/>
      <c r="B68" s="9" t="inlineStr"/>
      <c r="C68" s="9" t="inlineStr"/>
      <c r="D68" s="9" t="inlineStr"/>
      <c r="E68" s="9" t="inlineStr"/>
      <c r="F68" s="10" t="inlineStr"/>
      <c r="G68" s="9" t="inlineStr"/>
      <c r="H68" s="9" t="inlineStr"/>
      <c r="I68" s="9" t="inlineStr"/>
      <c r="J68" s="9">
        <f>IF(F68="","",IF(I68="انجام شده","انجام شده",IF(F68&lt;TODAY(),"عقب‌افتاده",IF(F68=TODAY(),"امروز",IF(F68&lt;=TODAY()+7,"تا ۷ روز","آینده")))))</f>
        <v/>
      </c>
      <c r="K68" s="9" t="inlineStr"/>
    </row>
    <row r="69">
      <c r="A69" s="10" t="inlineStr"/>
      <c r="B69" s="9" t="inlineStr"/>
      <c r="C69" s="9" t="inlineStr"/>
      <c r="D69" s="9" t="inlineStr"/>
      <c r="E69" s="9" t="inlineStr"/>
      <c r="F69" s="10" t="inlineStr"/>
      <c r="G69" s="9" t="inlineStr"/>
      <c r="H69" s="9" t="inlineStr"/>
      <c r="I69" s="9" t="inlineStr"/>
      <c r="J69" s="9">
        <f>IF(F69="","",IF(I69="انجام شده","انجام شده",IF(F69&lt;TODAY(),"عقب‌افتاده",IF(F69=TODAY(),"امروز",IF(F69&lt;=TODAY()+7,"تا ۷ روز","آینده")))))</f>
        <v/>
      </c>
      <c r="K69" s="9" t="inlineStr"/>
    </row>
    <row r="70">
      <c r="A70" s="10" t="inlineStr"/>
      <c r="B70" s="9" t="inlineStr"/>
      <c r="C70" s="9" t="inlineStr"/>
      <c r="D70" s="9" t="inlineStr"/>
      <c r="E70" s="9" t="inlineStr"/>
      <c r="F70" s="10" t="inlineStr"/>
      <c r="G70" s="9" t="inlineStr"/>
      <c r="H70" s="9" t="inlineStr"/>
      <c r="I70" s="9" t="inlineStr"/>
      <c r="J70" s="9">
        <f>IF(F70="","",IF(I70="انجام شده","انجام شده",IF(F70&lt;TODAY(),"عقب‌افتاده",IF(F70=TODAY(),"امروز",IF(F70&lt;=TODAY()+7,"تا ۷ روز","آینده")))))</f>
        <v/>
      </c>
      <c r="K70" s="9" t="inlineStr"/>
    </row>
    <row r="71">
      <c r="A71" s="10" t="inlineStr"/>
      <c r="B71" s="9" t="inlineStr"/>
      <c r="C71" s="9" t="inlineStr"/>
      <c r="D71" s="9" t="inlineStr"/>
      <c r="E71" s="9" t="inlineStr"/>
      <c r="F71" s="10" t="inlineStr"/>
      <c r="G71" s="9" t="inlineStr"/>
      <c r="H71" s="9" t="inlineStr"/>
      <c r="I71" s="9" t="inlineStr"/>
      <c r="J71" s="9">
        <f>IF(F71="","",IF(I71="انجام شده","انجام شده",IF(F71&lt;TODAY(),"عقب‌افتاده",IF(F71=TODAY(),"امروز",IF(F71&lt;=TODAY()+7,"تا ۷ روز","آینده")))))</f>
        <v/>
      </c>
      <c r="K71" s="9" t="inlineStr"/>
    </row>
    <row r="72">
      <c r="A72" s="10" t="inlineStr"/>
      <c r="B72" s="9" t="inlineStr"/>
      <c r="C72" s="9" t="inlineStr"/>
      <c r="D72" s="9" t="inlineStr"/>
      <c r="E72" s="9" t="inlineStr"/>
      <c r="F72" s="10" t="inlineStr"/>
      <c r="G72" s="9" t="inlineStr"/>
      <c r="H72" s="9" t="inlineStr"/>
      <c r="I72" s="9" t="inlineStr"/>
      <c r="J72" s="9">
        <f>IF(F72="","",IF(I72="انجام شده","انجام شده",IF(F72&lt;TODAY(),"عقب‌افتاده",IF(F72=TODAY(),"امروز",IF(F72&lt;=TODAY()+7,"تا ۷ روز","آینده")))))</f>
        <v/>
      </c>
      <c r="K72" s="9" t="inlineStr"/>
    </row>
    <row r="73">
      <c r="A73" s="10" t="inlineStr"/>
      <c r="B73" s="9" t="inlineStr"/>
      <c r="C73" s="9" t="inlineStr"/>
      <c r="D73" s="9" t="inlineStr"/>
      <c r="E73" s="9" t="inlineStr"/>
      <c r="F73" s="10" t="inlineStr"/>
      <c r="G73" s="9" t="inlineStr"/>
      <c r="H73" s="9" t="inlineStr"/>
      <c r="I73" s="9" t="inlineStr"/>
      <c r="J73" s="9">
        <f>IF(F73="","",IF(I73="انجام شده","انجام شده",IF(F73&lt;TODAY(),"عقب‌افتاده",IF(F73=TODAY(),"امروز",IF(F73&lt;=TODAY()+7,"تا ۷ روز","آینده")))))</f>
        <v/>
      </c>
      <c r="K73" s="9" t="inlineStr"/>
    </row>
    <row r="74">
      <c r="A74" s="10" t="inlineStr"/>
      <c r="B74" s="9" t="inlineStr"/>
      <c r="C74" s="9" t="inlineStr"/>
      <c r="D74" s="9" t="inlineStr"/>
      <c r="E74" s="9" t="inlineStr"/>
      <c r="F74" s="10" t="inlineStr"/>
      <c r="G74" s="9" t="inlineStr"/>
      <c r="H74" s="9" t="inlineStr"/>
      <c r="I74" s="9" t="inlineStr"/>
      <c r="J74" s="9">
        <f>IF(F74="","",IF(I74="انجام شده","انجام شده",IF(F74&lt;TODAY(),"عقب‌افتاده",IF(F74=TODAY(),"امروز",IF(F74&lt;=TODAY()+7,"تا ۷ روز","آینده")))))</f>
        <v/>
      </c>
      <c r="K74" s="9" t="inlineStr"/>
    </row>
    <row r="75">
      <c r="A75" s="10" t="inlineStr"/>
      <c r="B75" s="9" t="inlineStr"/>
      <c r="C75" s="9" t="inlineStr"/>
      <c r="D75" s="9" t="inlineStr"/>
      <c r="E75" s="9" t="inlineStr"/>
      <c r="F75" s="10" t="inlineStr"/>
      <c r="G75" s="9" t="inlineStr"/>
      <c r="H75" s="9" t="inlineStr"/>
      <c r="I75" s="9" t="inlineStr"/>
      <c r="J75" s="9">
        <f>IF(F75="","",IF(I75="انجام شده","انجام شده",IF(F75&lt;TODAY(),"عقب‌افتاده",IF(F75=TODAY(),"امروز",IF(F75&lt;=TODAY()+7,"تا ۷ روز","آینده")))))</f>
        <v/>
      </c>
      <c r="K75" s="9" t="inlineStr"/>
    </row>
    <row r="76">
      <c r="A76" s="10" t="inlineStr"/>
      <c r="B76" s="9" t="inlineStr"/>
      <c r="C76" s="9" t="inlineStr"/>
      <c r="D76" s="9" t="inlineStr"/>
      <c r="E76" s="9" t="inlineStr"/>
      <c r="F76" s="10" t="inlineStr"/>
      <c r="G76" s="9" t="inlineStr"/>
      <c r="H76" s="9" t="inlineStr"/>
      <c r="I76" s="9" t="inlineStr"/>
      <c r="J76" s="9">
        <f>IF(F76="","",IF(I76="انجام شده","انجام شده",IF(F76&lt;TODAY(),"عقب‌افتاده",IF(F76=TODAY(),"امروز",IF(F76&lt;=TODAY()+7,"تا ۷ روز","آینده")))))</f>
        <v/>
      </c>
      <c r="K76" s="9" t="inlineStr"/>
    </row>
    <row r="77">
      <c r="A77" s="10" t="inlineStr"/>
      <c r="B77" s="9" t="inlineStr"/>
      <c r="C77" s="9" t="inlineStr"/>
      <c r="D77" s="9" t="inlineStr"/>
      <c r="E77" s="9" t="inlineStr"/>
      <c r="F77" s="10" t="inlineStr"/>
      <c r="G77" s="9" t="inlineStr"/>
      <c r="H77" s="9" t="inlineStr"/>
      <c r="I77" s="9" t="inlineStr"/>
      <c r="J77" s="9">
        <f>IF(F77="","",IF(I77="انجام شده","انجام شده",IF(F77&lt;TODAY(),"عقب‌افتاده",IF(F77=TODAY(),"امروز",IF(F77&lt;=TODAY()+7,"تا ۷ روز","آینده")))))</f>
        <v/>
      </c>
      <c r="K77" s="9" t="inlineStr"/>
    </row>
    <row r="78">
      <c r="A78" s="10" t="inlineStr"/>
      <c r="B78" s="9" t="inlineStr"/>
      <c r="C78" s="9" t="inlineStr"/>
      <c r="D78" s="9" t="inlineStr"/>
      <c r="E78" s="9" t="inlineStr"/>
      <c r="F78" s="10" t="inlineStr"/>
      <c r="G78" s="9" t="inlineStr"/>
      <c r="H78" s="9" t="inlineStr"/>
      <c r="I78" s="9" t="inlineStr"/>
      <c r="J78" s="9">
        <f>IF(F78="","",IF(I78="انجام شده","انجام شده",IF(F78&lt;TODAY(),"عقب‌افتاده",IF(F78=TODAY(),"امروز",IF(F78&lt;=TODAY()+7,"تا ۷ روز","آینده")))))</f>
        <v/>
      </c>
      <c r="K78" s="9" t="inlineStr"/>
    </row>
    <row r="79">
      <c r="A79" s="10" t="inlineStr"/>
      <c r="B79" s="9" t="inlineStr"/>
      <c r="C79" s="9" t="inlineStr"/>
      <c r="D79" s="9" t="inlineStr"/>
      <c r="E79" s="9" t="inlineStr"/>
      <c r="F79" s="10" t="inlineStr"/>
      <c r="G79" s="9" t="inlineStr"/>
      <c r="H79" s="9" t="inlineStr"/>
      <c r="I79" s="9" t="inlineStr"/>
      <c r="J79" s="9">
        <f>IF(F79="","",IF(I79="انجام شده","انجام شده",IF(F79&lt;TODAY(),"عقب‌افتاده",IF(F79=TODAY(),"امروز",IF(F79&lt;=TODAY()+7,"تا ۷ روز","آینده")))))</f>
        <v/>
      </c>
      <c r="K79" s="9" t="inlineStr"/>
    </row>
    <row r="80">
      <c r="A80" s="10" t="inlineStr"/>
      <c r="B80" s="9" t="inlineStr"/>
      <c r="C80" s="9" t="inlineStr"/>
      <c r="D80" s="9" t="inlineStr"/>
      <c r="E80" s="9" t="inlineStr"/>
      <c r="F80" s="10" t="inlineStr"/>
      <c r="G80" s="9" t="inlineStr"/>
      <c r="H80" s="9" t="inlineStr"/>
      <c r="I80" s="9" t="inlineStr"/>
      <c r="J80" s="9">
        <f>IF(F80="","",IF(I80="انجام شده","انجام شده",IF(F80&lt;TODAY(),"عقب‌افتاده",IF(F80=TODAY(),"امروز",IF(F80&lt;=TODAY()+7,"تا ۷ روز","آینده")))))</f>
        <v/>
      </c>
      <c r="K80" s="9" t="inlineStr"/>
    </row>
    <row r="81">
      <c r="A81" s="10" t="inlineStr"/>
      <c r="B81" s="9" t="inlineStr"/>
      <c r="C81" s="9" t="inlineStr"/>
      <c r="D81" s="9" t="inlineStr"/>
      <c r="E81" s="9" t="inlineStr"/>
      <c r="F81" s="10" t="inlineStr"/>
      <c r="G81" s="9" t="inlineStr"/>
      <c r="H81" s="9" t="inlineStr"/>
      <c r="I81" s="9" t="inlineStr"/>
      <c r="J81" s="9">
        <f>IF(F81="","",IF(I81="انجام شده","انجام شده",IF(F81&lt;TODAY(),"عقب‌افتاده",IF(F81=TODAY(),"امروز",IF(F81&lt;=TODAY()+7,"تا ۷ روز","آینده")))))</f>
        <v/>
      </c>
      <c r="K81" s="9" t="inlineStr"/>
    </row>
    <row r="82">
      <c r="A82" s="10" t="inlineStr"/>
      <c r="B82" s="9" t="inlineStr"/>
      <c r="C82" s="9" t="inlineStr"/>
      <c r="D82" s="9" t="inlineStr"/>
      <c r="E82" s="9" t="inlineStr"/>
      <c r="F82" s="10" t="inlineStr"/>
      <c r="G82" s="9" t="inlineStr"/>
      <c r="H82" s="9" t="inlineStr"/>
      <c r="I82" s="9" t="inlineStr"/>
      <c r="J82" s="9">
        <f>IF(F82="","",IF(I82="انجام شده","انجام شده",IF(F82&lt;TODAY(),"عقب‌افتاده",IF(F82=TODAY(),"امروز",IF(F82&lt;=TODAY()+7,"تا ۷ روز","آینده")))))</f>
        <v/>
      </c>
      <c r="K82" s="9" t="inlineStr"/>
    </row>
    <row r="83">
      <c r="A83" s="10" t="inlineStr"/>
      <c r="B83" s="9" t="inlineStr"/>
      <c r="C83" s="9" t="inlineStr"/>
      <c r="D83" s="9" t="inlineStr"/>
      <c r="E83" s="9" t="inlineStr"/>
      <c r="F83" s="10" t="inlineStr"/>
      <c r="G83" s="9" t="inlineStr"/>
      <c r="H83" s="9" t="inlineStr"/>
      <c r="I83" s="9" t="inlineStr"/>
      <c r="J83" s="9">
        <f>IF(F83="","",IF(I83="انجام شده","انجام شده",IF(F83&lt;TODAY(),"عقب‌افتاده",IF(F83=TODAY(),"امروز",IF(F83&lt;=TODAY()+7,"تا ۷ روز","آینده")))))</f>
        <v/>
      </c>
      <c r="K83" s="9" t="inlineStr"/>
    </row>
    <row r="84">
      <c r="A84" s="10" t="inlineStr"/>
      <c r="B84" s="9" t="inlineStr"/>
      <c r="C84" s="9" t="inlineStr"/>
      <c r="D84" s="9" t="inlineStr"/>
      <c r="E84" s="9" t="inlineStr"/>
      <c r="F84" s="10" t="inlineStr"/>
      <c r="G84" s="9" t="inlineStr"/>
      <c r="H84" s="9" t="inlineStr"/>
      <c r="I84" s="9" t="inlineStr"/>
      <c r="J84" s="9">
        <f>IF(F84="","",IF(I84="انجام شده","انجام شده",IF(F84&lt;TODAY(),"عقب‌افتاده",IF(F84=TODAY(),"امروز",IF(F84&lt;=TODAY()+7,"تا ۷ روز","آینده")))))</f>
        <v/>
      </c>
      <c r="K84" s="9" t="inlineStr"/>
    </row>
    <row r="85">
      <c r="A85" s="10" t="inlineStr"/>
      <c r="B85" s="9" t="inlineStr"/>
      <c r="C85" s="9" t="inlineStr"/>
      <c r="D85" s="9" t="inlineStr"/>
      <c r="E85" s="9" t="inlineStr"/>
      <c r="F85" s="10" t="inlineStr"/>
      <c r="G85" s="9" t="inlineStr"/>
      <c r="H85" s="9" t="inlineStr"/>
      <c r="I85" s="9" t="inlineStr"/>
      <c r="J85" s="9">
        <f>IF(F85="","",IF(I85="انجام شده","انجام شده",IF(F85&lt;TODAY(),"عقب‌افتاده",IF(F85=TODAY(),"امروز",IF(F85&lt;=TODAY()+7,"تا ۷ روز","آینده")))))</f>
        <v/>
      </c>
      <c r="K85" s="9" t="inlineStr"/>
    </row>
    <row r="86">
      <c r="A86" s="10" t="inlineStr"/>
      <c r="B86" s="9" t="inlineStr"/>
      <c r="C86" s="9" t="inlineStr"/>
      <c r="D86" s="9" t="inlineStr"/>
      <c r="E86" s="9" t="inlineStr"/>
      <c r="F86" s="10" t="inlineStr"/>
      <c r="G86" s="9" t="inlineStr"/>
      <c r="H86" s="9" t="inlineStr"/>
      <c r="I86" s="9" t="inlineStr"/>
      <c r="J86" s="9">
        <f>IF(F86="","",IF(I86="انجام شده","انجام شده",IF(F86&lt;TODAY(),"عقب‌افتاده",IF(F86=TODAY(),"امروز",IF(F86&lt;=TODAY()+7,"تا ۷ روز","آینده")))))</f>
        <v/>
      </c>
      <c r="K86" s="9" t="inlineStr"/>
    </row>
    <row r="87">
      <c r="A87" s="10" t="inlineStr"/>
      <c r="B87" s="9" t="inlineStr"/>
      <c r="C87" s="9" t="inlineStr"/>
      <c r="D87" s="9" t="inlineStr"/>
      <c r="E87" s="9" t="inlineStr"/>
      <c r="F87" s="10" t="inlineStr"/>
      <c r="G87" s="9" t="inlineStr"/>
      <c r="H87" s="9" t="inlineStr"/>
      <c r="I87" s="9" t="inlineStr"/>
      <c r="J87" s="9">
        <f>IF(F87="","",IF(I87="انجام شده","انجام شده",IF(F87&lt;TODAY(),"عقب‌افتاده",IF(F87=TODAY(),"امروز",IF(F87&lt;=TODAY()+7,"تا ۷ روز","آینده")))))</f>
        <v/>
      </c>
      <c r="K87" s="9" t="inlineStr"/>
    </row>
    <row r="88">
      <c r="A88" s="10" t="inlineStr"/>
      <c r="B88" s="9" t="inlineStr"/>
      <c r="C88" s="9" t="inlineStr"/>
      <c r="D88" s="9" t="inlineStr"/>
      <c r="E88" s="9" t="inlineStr"/>
      <c r="F88" s="10" t="inlineStr"/>
      <c r="G88" s="9" t="inlineStr"/>
      <c r="H88" s="9" t="inlineStr"/>
      <c r="I88" s="9" t="inlineStr"/>
      <c r="J88" s="9">
        <f>IF(F88="","",IF(I88="انجام شده","انجام شده",IF(F88&lt;TODAY(),"عقب‌افتاده",IF(F88=TODAY(),"امروز",IF(F88&lt;=TODAY()+7,"تا ۷ روز","آینده")))))</f>
        <v/>
      </c>
      <c r="K88" s="9" t="inlineStr"/>
    </row>
    <row r="89">
      <c r="A89" s="10" t="inlineStr"/>
      <c r="B89" s="9" t="inlineStr"/>
      <c r="C89" s="9" t="inlineStr"/>
      <c r="D89" s="9" t="inlineStr"/>
      <c r="E89" s="9" t="inlineStr"/>
      <c r="F89" s="10" t="inlineStr"/>
      <c r="G89" s="9" t="inlineStr"/>
      <c r="H89" s="9" t="inlineStr"/>
      <c r="I89" s="9" t="inlineStr"/>
      <c r="J89" s="9">
        <f>IF(F89="","",IF(I89="انجام شده","انجام شده",IF(F89&lt;TODAY(),"عقب‌افتاده",IF(F89=TODAY(),"امروز",IF(F89&lt;=TODAY()+7,"تا ۷ روز","آینده")))))</f>
        <v/>
      </c>
      <c r="K89" s="9" t="inlineStr"/>
    </row>
    <row r="90">
      <c r="A90" s="10" t="inlineStr"/>
      <c r="B90" s="9" t="inlineStr"/>
      <c r="C90" s="9" t="inlineStr"/>
      <c r="D90" s="9" t="inlineStr"/>
      <c r="E90" s="9" t="inlineStr"/>
      <c r="F90" s="10" t="inlineStr"/>
      <c r="G90" s="9" t="inlineStr"/>
      <c r="H90" s="9" t="inlineStr"/>
      <c r="I90" s="9" t="inlineStr"/>
      <c r="J90" s="9">
        <f>IF(F90="","",IF(I90="انجام شده","انجام شده",IF(F90&lt;TODAY(),"عقب‌افتاده",IF(F90=TODAY(),"امروز",IF(F90&lt;=TODAY()+7,"تا ۷ روز","آینده")))))</f>
        <v/>
      </c>
      <c r="K90" s="9" t="inlineStr"/>
    </row>
    <row r="91">
      <c r="A91" s="10" t="inlineStr"/>
      <c r="B91" s="9" t="inlineStr"/>
      <c r="C91" s="9" t="inlineStr"/>
      <c r="D91" s="9" t="inlineStr"/>
      <c r="E91" s="9" t="inlineStr"/>
      <c r="F91" s="10" t="inlineStr"/>
      <c r="G91" s="9" t="inlineStr"/>
      <c r="H91" s="9" t="inlineStr"/>
      <c r="I91" s="9" t="inlineStr"/>
      <c r="J91" s="9">
        <f>IF(F91="","",IF(I91="انجام شده","انجام شده",IF(F91&lt;TODAY(),"عقب‌افتاده",IF(F91=TODAY(),"امروز",IF(F91&lt;=TODAY()+7,"تا ۷ روز","آینده")))))</f>
        <v/>
      </c>
      <c r="K91" s="9" t="inlineStr"/>
    </row>
    <row r="92">
      <c r="A92" s="10" t="inlineStr"/>
      <c r="B92" s="9" t="inlineStr"/>
      <c r="C92" s="9" t="inlineStr"/>
      <c r="D92" s="9" t="inlineStr"/>
      <c r="E92" s="9" t="inlineStr"/>
      <c r="F92" s="10" t="inlineStr"/>
      <c r="G92" s="9" t="inlineStr"/>
      <c r="H92" s="9" t="inlineStr"/>
      <c r="I92" s="9" t="inlineStr"/>
      <c r="J92" s="9">
        <f>IF(F92="","",IF(I92="انجام شده","انجام شده",IF(F92&lt;TODAY(),"عقب‌افتاده",IF(F92=TODAY(),"امروز",IF(F92&lt;=TODAY()+7,"تا ۷ روز","آینده")))))</f>
        <v/>
      </c>
      <c r="K92" s="9" t="inlineStr"/>
    </row>
    <row r="93">
      <c r="A93" s="10" t="inlineStr"/>
      <c r="B93" s="9" t="inlineStr"/>
      <c r="C93" s="9" t="inlineStr"/>
      <c r="D93" s="9" t="inlineStr"/>
      <c r="E93" s="9" t="inlineStr"/>
      <c r="F93" s="10" t="inlineStr"/>
      <c r="G93" s="9" t="inlineStr"/>
      <c r="H93" s="9" t="inlineStr"/>
      <c r="I93" s="9" t="inlineStr"/>
      <c r="J93" s="9">
        <f>IF(F93="","",IF(I93="انجام شده","انجام شده",IF(F93&lt;TODAY(),"عقب‌افتاده",IF(F93=TODAY(),"امروز",IF(F93&lt;=TODAY()+7,"تا ۷ روز","آینده")))))</f>
        <v/>
      </c>
      <c r="K93" s="9" t="inlineStr"/>
    </row>
    <row r="94">
      <c r="A94" s="10" t="inlineStr"/>
      <c r="B94" s="9" t="inlineStr"/>
      <c r="C94" s="9" t="inlineStr"/>
      <c r="D94" s="9" t="inlineStr"/>
      <c r="E94" s="9" t="inlineStr"/>
      <c r="F94" s="10" t="inlineStr"/>
      <c r="G94" s="9" t="inlineStr"/>
      <c r="H94" s="9" t="inlineStr"/>
      <c r="I94" s="9" t="inlineStr"/>
      <c r="J94" s="9">
        <f>IF(F94="","",IF(I94="انجام شده","انجام شده",IF(F94&lt;TODAY(),"عقب‌افتاده",IF(F94=TODAY(),"امروز",IF(F94&lt;=TODAY()+7,"تا ۷ روز","آینده")))))</f>
        <v/>
      </c>
      <c r="K94" s="9" t="inlineStr"/>
    </row>
    <row r="95">
      <c r="A95" s="10" t="inlineStr"/>
      <c r="B95" s="9" t="inlineStr"/>
      <c r="C95" s="9" t="inlineStr"/>
      <c r="D95" s="9" t="inlineStr"/>
      <c r="E95" s="9" t="inlineStr"/>
      <c r="F95" s="10" t="inlineStr"/>
      <c r="G95" s="9" t="inlineStr"/>
      <c r="H95" s="9" t="inlineStr"/>
      <c r="I95" s="9" t="inlineStr"/>
      <c r="J95" s="9">
        <f>IF(F95="","",IF(I95="انجام شده","انجام شده",IF(F95&lt;TODAY(),"عقب‌افتاده",IF(F95=TODAY(),"امروز",IF(F95&lt;=TODAY()+7,"تا ۷ روز","آینده")))))</f>
        <v/>
      </c>
      <c r="K95" s="9" t="inlineStr"/>
    </row>
    <row r="96">
      <c r="A96" s="10" t="inlineStr"/>
      <c r="B96" s="9" t="inlineStr"/>
      <c r="C96" s="9" t="inlineStr"/>
      <c r="D96" s="9" t="inlineStr"/>
      <c r="E96" s="9" t="inlineStr"/>
      <c r="F96" s="10" t="inlineStr"/>
      <c r="G96" s="9" t="inlineStr"/>
      <c r="H96" s="9" t="inlineStr"/>
      <c r="I96" s="9" t="inlineStr"/>
      <c r="J96" s="9">
        <f>IF(F96="","",IF(I96="انجام شده","انجام شده",IF(F96&lt;TODAY(),"عقب‌افتاده",IF(F96=TODAY(),"امروز",IF(F96&lt;=TODAY()+7,"تا ۷ روز","آینده")))))</f>
        <v/>
      </c>
      <c r="K96" s="9" t="inlineStr"/>
    </row>
    <row r="97">
      <c r="A97" s="10" t="inlineStr"/>
      <c r="B97" s="9" t="inlineStr"/>
      <c r="C97" s="9" t="inlineStr"/>
      <c r="D97" s="9" t="inlineStr"/>
      <c r="E97" s="9" t="inlineStr"/>
      <c r="F97" s="10" t="inlineStr"/>
      <c r="G97" s="9" t="inlineStr"/>
      <c r="H97" s="9" t="inlineStr"/>
      <c r="I97" s="9" t="inlineStr"/>
      <c r="J97" s="9">
        <f>IF(F97="","",IF(I97="انجام شده","انجام شده",IF(F97&lt;TODAY(),"عقب‌افتاده",IF(F97=TODAY(),"امروز",IF(F97&lt;=TODAY()+7,"تا ۷ روز","آینده")))))</f>
        <v/>
      </c>
      <c r="K97" s="9" t="inlineStr"/>
    </row>
    <row r="98">
      <c r="A98" s="10" t="inlineStr"/>
      <c r="B98" s="9" t="inlineStr"/>
      <c r="C98" s="9" t="inlineStr"/>
      <c r="D98" s="9" t="inlineStr"/>
      <c r="E98" s="9" t="inlineStr"/>
      <c r="F98" s="10" t="inlineStr"/>
      <c r="G98" s="9" t="inlineStr"/>
      <c r="H98" s="9" t="inlineStr"/>
      <c r="I98" s="9" t="inlineStr"/>
      <c r="J98" s="9">
        <f>IF(F98="","",IF(I98="انجام شده","انجام شده",IF(F98&lt;TODAY(),"عقب‌افتاده",IF(F98=TODAY(),"امروز",IF(F98&lt;=TODAY()+7,"تا ۷ روز","آینده")))))</f>
        <v/>
      </c>
      <c r="K98" s="9" t="inlineStr"/>
    </row>
    <row r="99">
      <c r="A99" s="10" t="inlineStr"/>
      <c r="B99" s="9" t="inlineStr"/>
      <c r="C99" s="9" t="inlineStr"/>
      <c r="D99" s="9" t="inlineStr"/>
      <c r="E99" s="9" t="inlineStr"/>
      <c r="F99" s="10" t="inlineStr"/>
      <c r="G99" s="9" t="inlineStr"/>
      <c r="H99" s="9" t="inlineStr"/>
      <c r="I99" s="9" t="inlineStr"/>
      <c r="J99" s="9">
        <f>IF(F99="","",IF(I99="انجام شده","انجام شده",IF(F99&lt;TODAY(),"عقب‌افتاده",IF(F99=TODAY(),"امروز",IF(F99&lt;=TODAY()+7,"تا ۷ روز","آینده")))))</f>
        <v/>
      </c>
      <c r="K99" s="9" t="inlineStr"/>
    </row>
    <row r="100">
      <c r="A100" s="10" t="inlineStr"/>
      <c r="B100" s="9" t="inlineStr"/>
      <c r="C100" s="9" t="inlineStr"/>
      <c r="D100" s="9" t="inlineStr"/>
      <c r="E100" s="9" t="inlineStr"/>
      <c r="F100" s="10" t="inlineStr"/>
      <c r="G100" s="9" t="inlineStr"/>
      <c r="H100" s="9" t="inlineStr"/>
      <c r="I100" s="9" t="inlineStr"/>
      <c r="J100" s="9">
        <f>IF(F100="","",IF(I100="انجام شده","انجام شده",IF(F100&lt;TODAY(),"عقب‌افتاده",IF(F100=TODAY(),"امروز",IF(F100&lt;=TODAY()+7,"تا ۷ روز","آینده")))))</f>
        <v/>
      </c>
      <c r="K100" s="9" t="inlineStr"/>
    </row>
    <row r="101">
      <c r="A101" s="10" t="inlineStr"/>
      <c r="B101" s="9" t="inlineStr"/>
      <c r="C101" s="9" t="inlineStr"/>
      <c r="D101" s="9" t="inlineStr"/>
      <c r="E101" s="9" t="inlineStr"/>
      <c r="F101" s="10" t="inlineStr"/>
      <c r="G101" s="9" t="inlineStr"/>
      <c r="H101" s="9" t="inlineStr"/>
      <c r="I101" s="9" t="inlineStr"/>
      <c r="J101" s="9">
        <f>IF(F101="","",IF(I101="انجام شده","انجام شده",IF(F101&lt;TODAY(),"عقب‌افتاده",IF(F101=TODAY(),"امروز",IF(F101&lt;=TODAY()+7,"تا ۷ روز","آینده")))))</f>
        <v/>
      </c>
      <c r="K101" s="9" t="inlineStr"/>
    </row>
    <row r="102">
      <c r="A102" s="10" t="inlineStr"/>
      <c r="B102" s="9" t="inlineStr"/>
      <c r="C102" s="9" t="inlineStr"/>
      <c r="D102" s="9" t="inlineStr"/>
      <c r="E102" s="9" t="inlineStr"/>
      <c r="F102" s="10" t="inlineStr"/>
      <c r="G102" s="9" t="inlineStr"/>
      <c r="H102" s="9" t="inlineStr"/>
      <c r="I102" s="9" t="inlineStr"/>
      <c r="J102" s="9">
        <f>IF(F102="","",IF(I102="انجام شده","انجام شده",IF(F102&lt;TODAY(),"عقب‌افتاده",IF(F102=TODAY(),"امروز",IF(F102&lt;=TODAY()+7,"تا ۷ روز","آینده")))))</f>
        <v/>
      </c>
      <c r="K102" s="9" t="inlineStr"/>
    </row>
    <row r="103">
      <c r="A103" s="10" t="inlineStr"/>
      <c r="B103" s="9" t="inlineStr"/>
      <c r="C103" s="9" t="inlineStr"/>
      <c r="D103" s="9" t="inlineStr"/>
      <c r="E103" s="9" t="inlineStr"/>
      <c r="F103" s="10" t="inlineStr"/>
      <c r="G103" s="9" t="inlineStr"/>
      <c r="H103" s="9" t="inlineStr"/>
      <c r="I103" s="9" t="inlineStr"/>
      <c r="J103" s="9">
        <f>IF(F103="","",IF(I103="انجام شده","انجام شده",IF(F103&lt;TODAY(),"عقب‌افتاده",IF(F103=TODAY(),"امروز",IF(F103&lt;=TODAY()+7,"تا ۷ روز","آینده")))))</f>
        <v/>
      </c>
      <c r="K103" s="9" t="inlineStr"/>
    </row>
    <row r="104">
      <c r="A104" s="10" t="inlineStr"/>
      <c r="B104" s="9" t="inlineStr"/>
      <c r="C104" s="9" t="inlineStr"/>
      <c r="D104" s="9" t="inlineStr"/>
      <c r="E104" s="9" t="inlineStr"/>
      <c r="F104" s="10" t="inlineStr"/>
      <c r="G104" s="9" t="inlineStr"/>
      <c r="H104" s="9" t="inlineStr"/>
      <c r="I104" s="9" t="inlineStr"/>
      <c r="J104" s="9">
        <f>IF(F104="","",IF(I104="انجام شده","انجام شده",IF(F104&lt;TODAY(),"عقب‌افتاده",IF(F104=TODAY(),"امروز",IF(F104&lt;=TODAY()+7,"تا ۷ روز","آینده")))))</f>
        <v/>
      </c>
      <c r="K104" s="9" t="inlineStr"/>
    </row>
    <row r="105">
      <c r="A105" s="10" t="inlineStr"/>
      <c r="B105" s="9" t="inlineStr"/>
      <c r="C105" s="9" t="inlineStr"/>
      <c r="D105" s="9" t="inlineStr"/>
      <c r="E105" s="9" t="inlineStr"/>
      <c r="F105" s="10" t="inlineStr"/>
      <c r="G105" s="9" t="inlineStr"/>
      <c r="H105" s="9" t="inlineStr"/>
      <c r="I105" s="9" t="inlineStr"/>
      <c r="J105" s="9">
        <f>IF(F105="","",IF(I105="انجام شده","انجام شده",IF(F105&lt;TODAY(),"عقب‌افتاده",IF(F105=TODAY(),"امروز",IF(F105&lt;=TODAY()+7,"تا ۷ روز","آینده")))))</f>
        <v/>
      </c>
      <c r="K105" s="9" t="inlineStr"/>
    </row>
    <row r="106">
      <c r="A106" s="10" t="inlineStr"/>
      <c r="B106" s="9" t="inlineStr"/>
      <c r="C106" s="9" t="inlineStr"/>
      <c r="D106" s="9" t="inlineStr"/>
      <c r="E106" s="9" t="inlineStr"/>
      <c r="F106" s="10" t="inlineStr"/>
      <c r="G106" s="9" t="inlineStr"/>
      <c r="H106" s="9" t="inlineStr"/>
      <c r="I106" s="9" t="inlineStr"/>
      <c r="J106" s="9">
        <f>IF(F106="","",IF(I106="انجام شده","انجام شده",IF(F106&lt;TODAY(),"عقب‌افتاده",IF(F106=TODAY(),"امروز",IF(F106&lt;=TODAY()+7,"تا ۷ روز","آینده")))))</f>
        <v/>
      </c>
      <c r="K106" s="9" t="inlineStr"/>
    </row>
    <row r="107">
      <c r="A107" s="10" t="inlineStr"/>
      <c r="B107" s="9" t="inlineStr"/>
      <c r="C107" s="9" t="inlineStr"/>
      <c r="D107" s="9" t="inlineStr"/>
      <c r="E107" s="9" t="inlineStr"/>
      <c r="F107" s="10" t="inlineStr"/>
      <c r="G107" s="9" t="inlineStr"/>
      <c r="H107" s="9" t="inlineStr"/>
      <c r="I107" s="9" t="inlineStr"/>
      <c r="J107" s="9">
        <f>IF(F107="","",IF(I107="انجام شده","انجام شده",IF(F107&lt;TODAY(),"عقب‌افتاده",IF(F107=TODAY(),"امروز",IF(F107&lt;=TODAY()+7,"تا ۷ روز","آینده")))))</f>
        <v/>
      </c>
      <c r="K107" s="9" t="inlineStr"/>
    </row>
    <row r="108">
      <c r="A108" s="10" t="inlineStr"/>
      <c r="B108" s="9" t="inlineStr"/>
      <c r="C108" s="9" t="inlineStr"/>
      <c r="D108" s="9" t="inlineStr"/>
      <c r="E108" s="9" t="inlineStr"/>
      <c r="F108" s="10" t="inlineStr"/>
      <c r="G108" s="9" t="inlineStr"/>
      <c r="H108" s="9" t="inlineStr"/>
      <c r="I108" s="9" t="inlineStr"/>
      <c r="J108" s="9">
        <f>IF(F108="","",IF(I108="انجام شده","انجام شده",IF(F108&lt;TODAY(),"عقب‌افتاده",IF(F108=TODAY(),"امروز",IF(F108&lt;=TODAY()+7,"تا ۷ روز","آینده")))))</f>
        <v/>
      </c>
      <c r="K108" s="9" t="inlineStr"/>
    </row>
    <row r="109">
      <c r="A109" s="10" t="inlineStr"/>
      <c r="B109" s="9" t="inlineStr"/>
      <c r="C109" s="9" t="inlineStr"/>
      <c r="D109" s="9" t="inlineStr"/>
      <c r="E109" s="9" t="inlineStr"/>
      <c r="F109" s="10" t="inlineStr"/>
      <c r="G109" s="9" t="inlineStr"/>
      <c r="H109" s="9" t="inlineStr"/>
      <c r="I109" s="9" t="inlineStr"/>
      <c r="J109" s="9">
        <f>IF(F109="","",IF(I109="انجام شده","انجام شده",IF(F109&lt;TODAY(),"عقب‌افتاده",IF(F109=TODAY(),"امروز",IF(F109&lt;=TODAY()+7,"تا ۷ روز","آینده")))))</f>
        <v/>
      </c>
      <c r="K109" s="9" t="inlineStr"/>
    </row>
    <row r="110">
      <c r="A110" s="10" t="inlineStr"/>
      <c r="B110" s="9" t="inlineStr"/>
      <c r="C110" s="9" t="inlineStr"/>
      <c r="D110" s="9" t="inlineStr"/>
      <c r="E110" s="9" t="inlineStr"/>
      <c r="F110" s="10" t="inlineStr"/>
      <c r="G110" s="9" t="inlineStr"/>
      <c r="H110" s="9" t="inlineStr"/>
      <c r="I110" s="9" t="inlineStr"/>
      <c r="J110" s="9">
        <f>IF(F110="","",IF(I110="انجام شده","انجام شده",IF(F110&lt;TODAY(),"عقب‌افتاده",IF(F110=TODAY(),"امروز",IF(F110&lt;=TODAY()+7,"تا ۷ روز","آینده")))))</f>
        <v/>
      </c>
      <c r="K110" s="9" t="inlineStr"/>
    </row>
    <row r="111">
      <c r="A111" s="10" t="inlineStr"/>
      <c r="B111" s="9" t="inlineStr"/>
      <c r="C111" s="9" t="inlineStr"/>
      <c r="D111" s="9" t="inlineStr"/>
      <c r="E111" s="9" t="inlineStr"/>
      <c r="F111" s="10" t="inlineStr"/>
      <c r="G111" s="9" t="inlineStr"/>
      <c r="H111" s="9" t="inlineStr"/>
      <c r="I111" s="9" t="inlineStr"/>
      <c r="J111" s="9">
        <f>IF(F111="","",IF(I111="انجام شده","انجام شده",IF(F111&lt;TODAY(),"عقب‌افتاده",IF(F111=TODAY(),"امروز",IF(F111&lt;=TODAY()+7,"تا ۷ روز","آینده")))))</f>
        <v/>
      </c>
      <c r="K111" s="9" t="inlineStr"/>
    </row>
    <row r="112">
      <c r="A112" s="10" t="inlineStr"/>
      <c r="B112" s="9" t="inlineStr"/>
      <c r="C112" s="9" t="inlineStr"/>
      <c r="D112" s="9" t="inlineStr"/>
      <c r="E112" s="9" t="inlineStr"/>
      <c r="F112" s="10" t="inlineStr"/>
      <c r="G112" s="9" t="inlineStr"/>
      <c r="H112" s="9" t="inlineStr"/>
      <c r="I112" s="9" t="inlineStr"/>
      <c r="J112" s="9">
        <f>IF(F112="","",IF(I112="انجام شده","انجام شده",IF(F112&lt;TODAY(),"عقب‌افتاده",IF(F112=TODAY(),"امروز",IF(F112&lt;=TODAY()+7,"تا ۷ روز","آینده")))))</f>
        <v/>
      </c>
      <c r="K112" s="9" t="inlineStr"/>
    </row>
    <row r="113">
      <c r="A113" s="10" t="inlineStr"/>
      <c r="B113" s="9" t="inlineStr"/>
      <c r="C113" s="9" t="inlineStr"/>
      <c r="D113" s="9" t="inlineStr"/>
      <c r="E113" s="9" t="inlineStr"/>
      <c r="F113" s="10" t="inlineStr"/>
      <c r="G113" s="9" t="inlineStr"/>
      <c r="H113" s="9" t="inlineStr"/>
      <c r="I113" s="9" t="inlineStr"/>
      <c r="J113" s="9">
        <f>IF(F113="","",IF(I113="انجام شده","انجام شده",IF(F113&lt;TODAY(),"عقب‌افتاده",IF(F113=TODAY(),"امروز",IF(F113&lt;=TODAY()+7,"تا ۷ روز","آینده")))))</f>
        <v/>
      </c>
      <c r="K113" s="9" t="inlineStr"/>
    </row>
    <row r="114">
      <c r="A114" s="10" t="inlineStr"/>
      <c r="B114" s="9" t="inlineStr"/>
      <c r="C114" s="9" t="inlineStr"/>
      <c r="D114" s="9" t="inlineStr"/>
      <c r="E114" s="9" t="inlineStr"/>
      <c r="F114" s="10" t="inlineStr"/>
      <c r="G114" s="9" t="inlineStr"/>
      <c r="H114" s="9" t="inlineStr"/>
      <c r="I114" s="9" t="inlineStr"/>
      <c r="J114" s="9">
        <f>IF(F114="","",IF(I114="انجام شده","انجام شده",IF(F114&lt;TODAY(),"عقب‌افتاده",IF(F114=TODAY(),"امروز",IF(F114&lt;=TODAY()+7,"تا ۷ روز","آینده")))))</f>
        <v/>
      </c>
      <c r="K114" s="9" t="inlineStr"/>
    </row>
    <row r="115">
      <c r="A115" s="10" t="inlineStr"/>
      <c r="B115" s="9" t="inlineStr"/>
      <c r="C115" s="9" t="inlineStr"/>
      <c r="D115" s="9" t="inlineStr"/>
      <c r="E115" s="9" t="inlineStr"/>
      <c r="F115" s="10" t="inlineStr"/>
      <c r="G115" s="9" t="inlineStr"/>
      <c r="H115" s="9" t="inlineStr"/>
      <c r="I115" s="9" t="inlineStr"/>
      <c r="J115" s="9">
        <f>IF(F115="","",IF(I115="انجام شده","انجام شده",IF(F115&lt;TODAY(),"عقب‌افتاده",IF(F115=TODAY(),"امروز",IF(F115&lt;=TODAY()+7,"تا ۷ روز","آینده")))))</f>
        <v/>
      </c>
      <c r="K115" s="9" t="inlineStr"/>
    </row>
    <row r="116">
      <c r="A116" s="10" t="inlineStr"/>
      <c r="B116" s="9" t="inlineStr"/>
      <c r="C116" s="9" t="inlineStr"/>
      <c r="D116" s="9" t="inlineStr"/>
      <c r="E116" s="9" t="inlineStr"/>
      <c r="F116" s="10" t="inlineStr"/>
      <c r="G116" s="9" t="inlineStr"/>
      <c r="H116" s="9" t="inlineStr"/>
      <c r="I116" s="9" t="inlineStr"/>
      <c r="J116" s="9">
        <f>IF(F116="","",IF(I116="انجام شده","انجام شده",IF(F116&lt;TODAY(),"عقب‌افتاده",IF(F116=TODAY(),"امروز",IF(F116&lt;=TODAY()+7,"تا ۷ روز","آینده")))))</f>
        <v/>
      </c>
      <c r="K116" s="9" t="inlineStr"/>
    </row>
    <row r="117">
      <c r="A117" s="10" t="inlineStr"/>
      <c r="B117" s="9" t="inlineStr"/>
      <c r="C117" s="9" t="inlineStr"/>
      <c r="D117" s="9" t="inlineStr"/>
      <c r="E117" s="9" t="inlineStr"/>
      <c r="F117" s="10" t="inlineStr"/>
      <c r="G117" s="9" t="inlineStr"/>
      <c r="H117" s="9" t="inlineStr"/>
      <c r="I117" s="9" t="inlineStr"/>
      <c r="J117" s="9">
        <f>IF(F117="","",IF(I117="انجام شده","انجام شده",IF(F117&lt;TODAY(),"عقب‌افتاده",IF(F117=TODAY(),"امروز",IF(F117&lt;=TODAY()+7,"تا ۷ روز","آینده")))))</f>
        <v/>
      </c>
      <c r="K117" s="9" t="inlineStr"/>
    </row>
    <row r="118">
      <c r="A118" s="10" t="inlineStr"/>
      <c r="B118" s="9" t="inlineStr"/>
      <c r="C118" s="9" t="inlineStr"/>
      <c r="D118" s="9" t="inlineStr"/>
      <c r="E118" s="9" t="inlineStr"/>
      <c r="F118" s="10" t="inlineStr"/>
      <c r="G118" s="9" t="inlineStr"/>
      <c r="H118" s="9" t="inlineStr"/>
      <c r="I118" s="9" t="inlineStr"/>
      <c r="J118" s="9">
        <f>IF(F118="","",IF(I118="انجام شده","انجام شده",IF(F118&lt;TODAY(),"عقب‌افتاده",IF(F118=TODAY(),"امروز",IF(F118&lt;=TODAY()+7,"تا ۷ روز","آینده")))))</f>
        <v/>
      </c>
      <c r="K118" s="9" t="inlineStr"/>
    </row>
    <row r="119">
      <c r="A119" s="10" t="inlineStr"/>
      <c r="B119" s="9" t="inlineStr"/>
      <c r="C119" s="9" t="inlineStr"/>
      <c r="D119" s="9" t="inlineStr"/>
      <c r="E119" s="9" t="inlineStr"/>
      <c r="F119" s="10" t="inlineStr"/>
      <c r="G119" s="9" t="inlineStr"/>
      <c r="H119" s="9" t="inlineStr"/>
      <c r="I119" s="9" t="inlineStr"/>
      <c r="J119" s="9">
        <f>IF(F119="","",IF(I119="انجام شده","انجام شده",IF(F119&lt;TODAY(),"عقب‌افتاده",IF(F119=TODAY(),"امروز",IF(F119&lt;=TODAY()+7,"تا ۷ روز","آینده")))))</f>
        <v/>
      </c>
      <c r="K119" s="9" t="inlineStr"/>
    </row>
    <row r="120">
      <c r="A120" s="10" t="inlineStr"/>
      <c r="B120" s="9" t="inlineStr"/>
      <c r="C120" s="9" t="inlineStr"/>
      <c r="D120" s="9" t="inlineStr"/>
      <c r="E120" s="9" t="inlineStr"/>
      <c r="F120" s="10" t="inlineStr"/>
      <c r="G120" s="9" t="inlineStr"/>
      <c r="H120" s="9" t="inlineStr"/>
      <c r="I120" s="9" t="inlineStr"/>
      <c r="J120" s="9">
        <f>IF(F120="","",IF(I120="انجام شده","انجام شده",IF(F120&lt;TODAY(),"عقب‌افتاده",IF(F120=TODAY(),"امروز",IF(F120&lt;=TODAY()+7,"تا ۷ روز","آینده")))))</f>
        <v/>
      </c>
      <c r="K120" s="9" t="inlineStr"/>
    </row>
    <row r="121">
      <c r="A121" s="10" t="inlineStr"/>
      <c r="B121" s="9" t="inlineStr"/>
      <c r="C121" s="9" t="inlineStr"/>
      <c r="D121" s="9" t="inlineStr"/>
      <c r="E121" s="9" t="inlineStr"/>
      <c r="F121" s="10" t="inlineStr"/>
      <c r="G121" s="9" t="inlineStr"/>
      <c r="H121" s="9" t="inlineStr"/>
      <c r="I121" s="9" t="inlineStr"/>
      <c r="J121" s="9">
        <f>IF(F121="","",IF(I121="انجام شده","انجام شده",IF(F121&lt;TODAY(),"عقب‌افتاده",IF(F121=TODAY(),"امروز",IF(F121&lt;=TODAY()+7,"تا ۷ روز","آینده")))))</f>
        <v/>
      </c>
      <c r="K121" s="9" t="inlineStr"/>
    </row>
    <row r="122">
      <c r="A122" s="10" t="inlineStr"/>
      <c r="B122" s="9" t="inlineStr"/>
      <c r="C122" s="9" t="inlineStr"/>
      <c r="D122" s="9" t="inlineStr"/>
      <c r="E122" s="9" t="inlineStr"/>
      <c r="F122" s="10" t="inlineStr"/>
      <c r="G122" s="9" t="inlineStr"/>
      <c r="H122" s="9" t="inlineStr"/>
      <c r="I122" s="9" t="inlineStr"/>
      <c r="J122" s="9">
        <f>IF(F122="","",IF(I122="انجام شده","انجام شده",IF(F122&lt;TODAY(),"عقب‌افتاده",IF(F122=TODAY(),"امروز",IF(F122&lt;=TODAY()+7,"تا ۷ روز","آینده")))))</f>
        <v/>
      </c>
      <c r="K122" s="9" t="inlineStr"/>
    </row>
    <row r="123">
      <c r="A123" s="10" t="inlineStr"/>
      <c r="B123" s="9" t="inlineStr"/>
      <c r="C123" s="9" t="inlineStr"/>
      <c r="D123" s="9" t="inlineStr"/>
      <c r="E123" s="9" t="inlineStr"/>
      <c r="F123" s="10" t="inlineStr"/>
      <c r="G123" s="9" t="inlineStr"/>
      <c r="H123" s="9" t="inlineStr"/>
      <c r="I123" s="9" t="inlineStr"/>
      <c r="J123" s="9">
        <f>IF(F123="","",IF(I123="انجام شده","انجام شده",IF(F123&lt;TODAY(),"عقب‌افتاده",IF(F123=TODAY(),"امروز",IF(F123&lt;=TODAY()+7,"تا ۷ روز","آینده")))))</f>
        <v/>
      </c>
      <c r="K123" s="9" t="inlineStr"/>
    </row>
    <row r="124">
      <c r="A124" s="10" t="inlineStr"/>
      <c r="B124" s="9" t="inlineStr"/>
      <c r="C124" s="9" t="inlineStr"/>
      <c r="D124" s="9" t="inlineStr"/>
      <c r="E124" s="9" t="inlineStr"/>
      <c r="F124" s="10" t="inlineStr"/>
      <c r="G124" s="9" t="inlineStr"/>
      <c r="H124" s="9" t="inlineStr"/>
      <c r="I124" s="9" t="inlineStr"/>
      <c r="J124" s="9">
        <f>IF(F124="","",IF(I124="انجام شده","انجام شده",IF(F124&lt;TODAY(),"عقب‌افتاده",IF(F124=TODAY(),"امروز",IF(F124&lt;=TODAY()+7,"تا ۷ روز","آینده")))))</f>
        <v/>
      </c>
      <c r="K124" s="9" t="inlineStr"/>
    </row>
    <row r="125">
      <c r="A125" s="10" t="inlineStr"/>
      <c r="B125" s="9" t="inlineStr"/>
      <c r="C125" s="9" t="inlineStr"/>
      <c r="D125" s="9" t="inlineStr"/>
      <c r="E125" s="9" t="inlineStr"/>
      <c r="F125" s="10" t="inlineStr"/>
      <c r="G125" s="9" t="inlineStr"/>
      <c r="H125" s="9" t="inlineStr"/>
      <c r="I125" s="9" t="inlineStr"/>
      <c r="J125" s="9">
        <f>IF(F125="","",IF(I125="انجام شده","انجام شده",IF(F125&lt;TODAY(),"عقب‌افتاده",IF(F125=TODAY(),"امروز",IF(F125&lt;=TODAY()+7,"تا ۷ روز","آینده")))))</f>
        <v/>
      </c>
      <c r="K125" s="9" t="inlineStr"/>
    </row>
    <row r="126">
      <c r="A126" s="10" t="inlineStr"/>
      <c r="B126" s="9" t="inlineStr"/>
      <c r="C126" s="9" t="inlineStr"/>
      <c r="D126" s="9" t="inlineStr"/>
      <c r="E126" s="9" t="inlineStr"/>
      <c r="F126" s="10" t="inlineStr"/>
      <c r="G126" s="9" t="inlineStr"/>
      <c r="H126" s="9" t="inlineStr"/>
      <c r="I126" s="9" t="inlineStr"/>
      <c r="J126" s="9">
        <f>IF(F126="","",IF(I126="انجام شده","انجام شده",IF(F126&lt;TODAY(),"عقب‌افتاده",IF(F126=TODAY(),"امروز",IF(F126&lt;=TODAY()+7,"تا ۷ روز","آینده")))))</f>
        <v/>
      </c>
      <c r="K126" s="9" t="inlineStr"/>
    </row>
    <row r="127">
      <c r="A127" s="10" t="inlineStr"/>
      <c r="B127" s="9" t="inlineStr"/>
      <c r="C127" s="9" t="inlineStr"/>
      <c r="D127" s="9" t="inlineStr"/>
      <c r="E127" s="9" t="inlineStr"/>
      <c r="F127" s="10" t="inlineStr"/>
      <c r="G127" s="9" t="inlineStr"/>
      <c r="H127" s="9" t="inlineStr"/>
      <c r="I127" s="9" t="inlineStr"/>
      <c r="J127" s="9">
        <f>IF(F127="","",IF(I127="انجام شده","انجام شده",IF(F127&lt;TODAY(),"عقب‌افتاده",IF(F127=TODAY(),"امروز",IF(F127&lt;=TODAY()+7,"تا ۷ روز","آینده")))))</f>
        <v/>
      </c>
      <c r="K127" s="9" t="inlineStr"/>
    </row>
    <row r="128">
      <c r="A128" s="10" t="inlineStr"/>
      <c r="B128" s="9" t="inlineStr"/>
      <c r="C128" s="9" t="inlineStr"/>
      <c r="D128" s="9" t="inlineStr"/>
      <c r="E128" s="9" t="inlineStr"/>
      <c r="F128" s="10" t="inlineStr"/>
      <c r="G128" s="9" t="inlineStr"/>
      <c r="H128" s="9" t="inlineStr"/>
      <c r="I128" s="9" t="inlineStr"/>
      <c r="J128" s="9">
        <f>IF(F128="","",IF(I128="انجام شده","انجام شده",IF(F128&lt;TODAY(),"عقب‌افتاده",IF(F128=TODAY(),"امروز",IF(F128&lt;=TODAY()+7,"تا ۷ روز","آینده")))))</f>
        <v/>
      </c>
      <c r="K128" s="9" t="inlineStr"/>
    </row>
    <row r="129">
      <c r="A129" s="10" t="inlineStr"/>
      <c r="B129" s="9" t="inlineStr"/>
      <c r="C129" s="9" t="inlineStr"/>
      <c r="D129" s="9" t="inlineStr"/>
      <c r="E129" s="9" t="inlineStr"/>
      <c r="F129" s="10" t="inlineStr"/>
      <c r="G129" s="9" t="inlineStr"/>
      <c r="H129" s="9" t="inlineStr"/>
      <c r="I129" s="9" t="inlineStr"/>
      <c r="J129" s="9">
        <f>IF(F129="","",IF(I129="انجام شده","انجام شده",IF(F129&lt;TODAY(),"عقب‌افتاده",IF(F129=TODAY(),"امروز",IF(F129&lt;=TODAY()+7,"تا ۷ روز","آینده")))))</f>
        <v/>
      </c>
      <c r="K129" s="9" t="inlineStr"/>
    </row>
    <row r="130">
      <c r="A130" s="10" t="inlineStr"/>
      <c r="B130" s="9" t="inlineStr"/>
      <c r="C130" s="9" t="inlineStr"/>
      <c r="D130" s="9" t="inlineStr"/>
      <c r="E130" s="9" t="inlineStr"/>
      <c r="F130" s="10" t="inlineStr"/>
      <c r="G130" s="9" t="inlineStr"/>
      <c r="H130" s="9" t="inlineStr"/>
      <c r="I130" s="9" t="inlineStr"/>
      <c r="J130" s="9">
        <f>IF(F130="","",IF(I130="انجام شده","انجام شده",IF(F130&lt;TODAY(),"عقب‌افتاده",IF(F130=TODAY(),"امروز",IF(F130&lt;=TODAY()+7,"تا ۷ روز","آینده")))))</f>
        <v/>
      </c>
      <c r="K130" s="9" t="inlineStr"/>
    </row>
    <row r="131">
      <c r="A131" s="10" t="inlineStr"/>
      <c r="B131" s="9" t="inlineStr"/>
      <c r="C131" s="9" t="inlineStr"/>
      <c r="D131" s="9" t="inlineStr"/>
      <c r="E131" s="9" t="inlineStr"/>
      <c r="F131" s="10" t="inlineStr"/>
      <c r="G131" s="9" t="inlineStr"/>
      <c r="H131" s="9" t="inlineStr"/>
      <c r="I131" s="9" t="inlineStr"/>
      <c r="J131" s="9">
        <f>IF(F131="","",IF(I131="انجام شده","انجام شده",IF(F131&lt;TODAY(),"عقب‌افتاده",IF(F131=TODAY(),"امروز",IF(F131&lt;=TODAY()+7,"تا ۷ روز","آینده")))))</f>
        <v/>
      </c>
      <c r="K131" s="9" t="inlineStr"/>
    </row>
    <row r="132">
      <c r="A132" s="10" t="inlineStr"/>
      <c r="B132" s="9" t="inlineStr"/>
      <c r="C132" s="9" t="inlineStr"/>
      <c r="D132" s="9" t="inlineStr"/>
      <c r="E132" s="9" t="inlineStr"/>
      <c r="F132" s="10" t="inlineStr"/>
      <c r="G132" s="9" t="inlineStr"/>
      <c r="H132" s="9" t="inlineStr"/>
      <c r="I132" s="9" t="inlineStr"/>
      <c r="J132" s="9">
        <f>IF(F132="","",IF(I132="انجام شده","انجام شده",IF(F132&lt;TODAY(),"عقب‌افتاده",IF(F132=TODAY(),"امروز",IF(F132&lt;=TODAY()+7,"تا ۷ روز","آینده")))))</f>
        <v/>
      </c>
      <c r="K132" s="9" t="inlineStr"/>
    </row>
    <row r="133">
      <c r="A133" s="10" t="inlineStr"/>
      <c r="B133" s="9" t="inlineStr"/>
      <c r="C133" s="9" t="inlineStr"/>
      <c r="D133" s="9" t="inlineStr"/>
      <c r="E133" s="9" t="inlineStr"/>
      <c r="F133" s="10" t="inlineStr"/>
      <c r="G133" s="9" t="inlineStr"/>
      <c r="H133" s="9" t="inlineStr"/>
      <c r="I133" s="9" t="inlineStr"/>
      <c r="J133" s="9">
        <f>IF(F133="","",IF(I133="انجام شده","انجام شده",IF(F133&lt;TODAY(),"عقب‌افتاده",IF(F133=TODAY(),"امروز",IF(F133&lt;=TODAY()+7,"تا ۷ روز","آینده")))))</f>
        <v/>
      </c>
      <c r="K133" s="9" t="inlineStr"/>
    </row>
    <row r="134">
      <c r="A134" s="10" t="inlineStr"/>
      <c r="B134" s="9" t="inlineStr"/>
      <c r="C134" s="9" t="inlineStr"/>
      <c r="D134" s="9" t="inlineStr"/>
      <c r="E134" s="9" t="inlineStr"/>
      <c r="F134" s="10" t="inlineStr"/>
      <c r="G134" s="9" t="inlineStr"/>
      <c r="H134" s="9" t="inlineStr"/>
      <c r="I134" s="9" t="inlineStr"/>
      <c r="J134" s="9">
        <f>IF(F134="","",IF(I134="انجام شده","انجام شده",IF(F134&lt;TODAY(),"عقب‌افتاده",IF(F134=TODAY(),"امروز",IF(F134&lt;=TODAY()+7,"تا ۷ روز","آینده")))))</f>
        <v/>
      </c>
      <c r="K134" s="9" t="inlineStr"/>
    </row>
    <row r="135">
      <c r="A135" s="10" t="inlineStr"/>
      <c r="B135" s="9" t="inlineStr"/>
      <c r="C135" s="9" t="inlineStr"/>
      <c r="D135" s="9" t="inlineStr"/>
      <c r="E135" s="9" t="inlineStr"/>
      <c r="F135" s="10" t="inlineStr"/>
      <c r="G135" s="9" t="inlineStr"/>
      <c r="H135" s="9" t="inlineStr"/>
      <c r="I135" s="9" t="inlineStr"/>
      <c r="J135" s="9">
        <f>IF(F135="","",IF(I135="انجام شده","انجام شده",IF(F135&lt;TODAY(),"عقب‌افتاده",IF(F135=TODAY(),"امروز",IF(F135&lt;=TODAY()+7,"تا ۷ روز","آینده")))))</f>
        <v/>
      </c>
      <c r="K135" s="9" t="inlineStr"/>
    </row>
    <row r="136">
      <c r="A136" s="10" t="inlineStr"/>
      <c r="B136" s="9" t="inlineStr"/>
      <c r="C136" s="9" t="inlineStr"/>
      <c r="D136" s="9" t="inlineStr"/>
      <c r="E136" s="9" t="inlineStr"/>
      <c r="F136" s="10" t="inlineStr"/>
      <c r="G136" s="9" t="inlineStr"/>
      <c r="H136" s="9" t="inlineStr"/>
      <c r="I136" s="9" t="inlineStr"/>
      <c r="J136" s="9">
        <f>IF(F136="","",IF(I136="انجام شده","انجام شده",IF(F136&lt;TODAY(),"عقب‌افتاده",IF(F136=TODAY(),"امروز",IF(F136&lt;=TODAY()+7,"تا ۷ روز","آینده")))))</f>
        <v/>
      </c>
      <c r="K136" s="9" t="inlineStr"/>
    </row>
    <row r="137">
      <c r="A137" s="10" t="inlineStr"/>
      <c r="B137" s="9" t="inlineStr"/>
      <c r="C137" s="9" t="inlineStr"/>
      <c r="D137" s="9" t="inlineStr"/>
      <c r="E137" s="9" t="inlineStr"/>
      <c r="F137" s="10" t="inlineStr"/>
      <c r="G137" s="9" t="inlineStr"/>
      <c r="H137" s="9" t="inlineStr"/>
      <c r="I137" s="9" t="inlineStr"/>
      <c r="J137" s="9">
        <f>IF(F137="","",IF(I137="انجام شده","انجام شده",IF(F137&lt;TODAY(),"عقب‌افتاده",IF(F137=TODAY(),"امروز",IF(F137&lt;=TODAY()+7,"تا ۷ روز","آینده")))))</f>
        <v/>
      </c>
      <c r="K137" s="9" t="inlineStr"/>
    </row>
    <row r="138">
      <c r="A138" s="10" t="inlineStr"/>
      <c r="B138" s="9" t="inlineStr"/>
      <c r="C138" s="9" t="inlineStr"/>
      <c r="D138" s="9" t="inlineStr"/>
      <c r="E138" s="9" t="inlineStr"/>
      <c r="F138" s="10" t="inlineStr"/>
      <c r="G138" s="9" t="inlineStr"/>
      <c r="H138" s="9" t="inlineStr"/>
      <c r="I138" s="9" t="inlineStr"/>
      <c r="J138" s="9">
        <f>IF(F138="","",IF(I138="انجام شده","انجام شده",IF(F138&lt;TODAY(),"عقب‌افتاده",IF(F138=TODAY(),"امروز",IF(F138&lt;=TODAY()+7,"تا ۷ روز","آینده")))))</f>
        <v/>
      </c>
      <c r="K138" s="9" t="inlineStr"/>
    </row>
    <row r="139">
      <c r="A139" s="10" t="inlineStr"/>
      <c r="B139" s="9" t="inlineStr"/>
      <c r="C139" s="9" t="inlineStr"/>
      <c r="D139" s="9" t="inlineStr"/>
      <c r="E139" s="9" t="inlineStr"/>
      <c r="F139" s="10" t="inlineStr"/>
      <c r="G139" s="9" t="inlineStr"/>
      <c r="H139" s="9" t="inlineStr"/>
      <c r="I139" s="9" t="inlineStr"/>
      <c r="J139" s="9">
        <f>IF(F139="","",IF(I139="انجام شده","انجام شده",IF(F139&lt;TODAY(),"عقب‌افتاده",IF(F139=TODAY(),"امروز",IF(F139&lt;=TODAY()+7,"تا ۷ روز","آینده")))))</f>
        <v/>
      </c>
      <c r="K139" s="9" t="inlineStr"/>
    </row>
    <row r="140">
      <c r="A140" s="10" t="inlineStr"/>
      <c r="B140" s="9" t="inlineStr"/>
      <c r="C140" s="9" t="inlineStr"/>
      <c r="D140" s="9" t="inlineStr"/>
      <c r="E140" s="9" t="inlineStr"/>
      <c r="F140" s="10" t="inlineStr"/>
      <c r="G140" s="9" t="inlineStr"/>
      <c r="H140" s="9" t="inlineStr"/>
      <c r="I140" s="9" t="inlineStr"/>
      <c r="J140" s="9">
        <f>IF(F140="","",IF(I140="انجام شده","انجام شده",IF(F140&lt;TODAY(),"عقب‌افتاده",IF(F140=TODAY(),"امروز",IF(F140&lt;=TODAY()+7,"تا ۷ روز","آینده")))))</f>
        <v/>
      </c>
      <c r="K140" s="9" t="inlineStr"/>
    </row>
    <row r="141">
      <c r="A141" s="10" t="inlineStr"/>
      <c r="B141" s="9" t="inlineStr"/>
      <c r="C141" s="9" t="inlineStr"/>
      <c r="D141" s="9" t="inlineStr"/>
      <c r="E141" s="9" t="inlineStr"/>
      <c r="F141" s="10" t="inlineStr"/>
      <c r="G141" s="9" t="inlineStr"/>
      <c r="H141" s="9" t="inlineStr"/>
      <c r="I141" s="9" t="inlineStr"/>
      <c r="J141" s="9">
        <f>IF(F141="","",IF(I141="انجام شده","انجام شده",IF(F141&lt;TODAY(),"عقب‌افتاده",IF(F141=TODAY(),"امروز",IF(F141&lt;=TODAY()+7,"تا ۷ روز","آینده")))))</f>
        <v/>
      </c>
      <c r="K141" s="9" t="inlineStr"/>
    </row>
    <row r="142">
      <c r="A142" s="10" t="inlineStr"/>
      <c r="B142" s="9" t="inlineStr"/>
      <c r="C142" s="9" t="inlineStr"/>
      <c r="D142" s="9" t="inlineStr"/>
      <c r="E142" s="9" t="inlineStr"/>
      <c r="F142" s="10" t="inlineStr"/>
      <c r="G142" s="9" t="inlineStr"/>
      <c r="H142" s="9" t="inlineStr"/>
      <c r="I142" s="9" t="inlineStr"/>
      <c r="J142" s="9">
        <f>IF(F142="","",IF(I142="انجام شده","انجام شده",IF(F142&lt;TODAY(),"عقب‌افتاده",IF(F142=TODAY(),"امروز",IF(F142&lt;=TODAY()+7,"تا ۷ روز","آینده")))))</f>
        <v/>
      </c>
      <c r="K142" s="9" t="inlineStr"/>
    </row>
    <row r="143">
      <c r="A143" s="10" t="inlineStr"/>
      <c r="B143" s="9" t="inlineStr"/>
      <c r="C143" s="9" t="inlineStr"/>
      <c r="D143" s="9" t="inlineStr"/>
      <c r="E143" s="9" t="inlineStr"/>
      <c r="F143" s="10" t="inlineStr"/>
      <c r="G143" s="9" t="inlineStr"/>
      <c r="H143" s="9" t="inlineStr"/>
      <c r="I143" s="9" t="inlineStr"/>
      <c r="J143" s="9">
        <f>IF(F143="","",IF(I143="انجام شده","انجام شده",IF(F143&lt;TODAY(),"عقب‌افتاده",IF(F143=TODAY(),"امروز",IF(F143&lt;=TODAY()+7,"تا ۷ روز","آینده")))))</f>
        <v/>
      </c>
      <c r="K143" s="9" t="inlineStr"/>
    </row>
    <row r="144">
      <c r="A144" s="10" t="inlineStr"/>
      <c r="B144" s="9" t="inlineStr"/>
      <c r="C144" s="9" t="inlineStr"/>
      <c r="D144" s="9" t="inlineStr"/>
      <c r="E144" s="9" t="inlineStr"/>
      <c r="F144" s="10" t="inlineStr"/>
      <c r="G144" s="9" t="inlineStr"/>
      <c r="H144" s="9" t="inlineStr"/>
      <c r="I144" s="9" t="inlineStr"/>
      <c r="J144" s="9">
        <f>IF(F144="","",IF(I144="انجام شده","انجام شده",IF(F144&lt;TODAY(),"عقب‌افتاده",IF(F144=TODAY(),"امروز",IF(F144&lt;=TODAY()+7,"تا ۷ روز","آینده")))))</f>
        <v/>
      </c>
      <c r="K144" s="9" t="inlineStr"/>
    </row>
    <row r="145">
      <c r="A145" s="10" t="inlineStr"/>
      <c r="B145" s="9" t="inlineStr"/>
      <c r="C145" s="9" t="inlineStr"/>
      <c r="D145" s="9" t="inlineStr"/>
      <c r="E145" s="9" t="inlineStr"/>
      <c r="F145" s="10" t="inlineStr"/>
      <c r="G145" s="9" t="inlineStr"/>
      <c r="H145" s="9" t="inlineStr"/>
      <c r="I145" s="9" t="inlineStr"/>
      <c r="J145" s="9">
        <f>IF(F145="","",IF(I145="انجام شده","انجام شده",IF(F145&lt;TODAY(),"عقب‌افتاده",IF(F145=TODAY(),"امروز",IF(F145&lt;=TODAY()+7,"تا ۷ روز","آینده")))))</f>
        <v/>
      </c>
      <c r="K145" s="9" t="inlineStr"/>
    </row>
    <row r="146">
      <c r="A146" s="10" t="inlineStr"/>
      <c r="B146" s="9" t="inlineStr"/>
      <c r="C146" s="9" t="inlineStr"/>
      <c r="D146" s="9" t="inlineStr"/>
      <c r="E146" s="9" t="inlineStr"/>
      <c r="F146" s="10" t="inlineStr"/>
      <c r="G146" s="9" t="inlineStr"/>
      <c r="H146" s="9" t="inlineStr"/>
      <c r="I146" s="9" t="inlineStr"/>
      <c r="J146" s="9">
        <f>IF(F146="","",IF(I146="انجام شده","انجام شده",IF(F146&lt;TODAY(),"عقب‌افتاده",IF(F146=TODAY(),"امروز",IF(F146&lt;=TODAY()+7,"تا ۷ روز","آینده")))))</f>
        <v/>
      </c>
      <c r="K146" s="9" t="inlineStr"/>
    </row>
    <row r="147">
      <c r="A147" s="10" t="inlineStr"/>
      <c r="B147" s="9" t="inlineStr"/>
      <c r="C147" s="9" t="inlineStr"/>
      <c r="D147" s="9" t="inlineStr"/>
      <c r="E147" s="9" t="inlineStr"/>
      <c r="F147" s="10" t="inlineStr"/>
      <c r="G147" s="9" t="inlineStr"/>
      <c r="H147" s="9" t="inlineStr"/>
      <c r="I147" s="9" t="inlineStr"/>
      <c r="J147" s="9">
        <f>IF(F147="","",IF(I147="انجام شده","انجام شده",IF(F147&lt;TODAY(),"عقب‌افتاده",IF(F147=TODAY(),"امروز",IF(F147&lt;=TODAY()+7,"تا ۷ روز","آینده")))))</f>
        <v/>
      </c>
      <c r="K147" s="9" t="inlineStr"/>
    </row>
    <row r="148">
      <c r="A148" s="10" t="inlineStr"/>
      <c r="B148" s="9" t="inlineStr"/>
      <c r="C148" s="9" t="inlineStr"/>
      <c r="D148" s="9" t="inlineStr"/>
      <c r="E148" s="9" t="inlineStr"/>
      <c r="F148" s="10" t="inlineStr"/>
      <c r="G148" s="9" t="inlineStr"/>
      <c r="H148" s="9" t="inlineStr"/>
      <c r="I148" s="9" t="inlineStr"/>
      <c r="J148" s="9">
        <f>IF(F148="","",IF(I148="انجام شده","انجام شده",IF(F148&lt;TODAY(),"عقب‌افتاده",IF(F148=TODAY(),"امروز",IF(F148&lt;=TODAY()+7,"تا ۷ روز","آینده")))))</f>
        <v/>
      </c>
      <c r="K148" s="9" t="inlineStr"/>
    </row>
    <row r="149">
      <c r="A149" s="10" t="inlineStr"/>
      <c r="B149" s="9" t="inlineStr"/>
      <c r="C149" s="9" t="inlineStr"/>
      <c r="D149" s="9" t="inlineStr"/>
      <c r="E149" s="9" t="inlineStr"/>
      <c r="F149" s="10" t="inlineStr"/>
      <c r="G149" s="9" t="inlineStr"/>
      <c r="H149" s="9" t="inlineStr"/>
      <c r="I149" s="9" t="inlineStr"/>
      <c r="J149" s="9">
        <f>IF(F149="","",IF(I149="انجام شده","انجام شده",IF(F149&lt;TODAY(),"عقب‌افتاده",IF(F149=TODAY(),"امروز",IF(F149&lt;=TODAY()+7,"تا ۷ روز","آینده")))))</f>
        <v/>
      </c>
      <c r="K149" s="9" t="inlineStr"/>
    </row>
    <row r="150">
      <c r="A150" s="10" t="inlineStr"/>
      <c r="B150" s="9" t="inlineStr"/>
      <c r="C150" s="9" t="inlineStr"/>
      <c r="D150" s="9" t="inlineStr"/>
      <c r="E150" s="9" t="inlineStr"/>
      <c r="F150" s="10" t="inlineStr"/>
      <c r="G150" s="9" t="inlineStr"/>
      <c r="H150" s="9" t="inlineStr"/>
      <c r="I150" s="9" t="inlineStr"/>
      <c r="J150" s="9">
        <f>IF(F150="","",IF(I150="انجام شده","انجام شده",IF(F150&lt;TODAY(),"عقب‌افتاده",IF(F150=TODAY(),"امروز",IF(F150&lt;=TODAY()+7,"تا ۷ روز","آینده")))))</f>
        <v/>
      </c>
      <c r="K150" s="9" t="inlineStr"/>
    </row>
    <row r="151">
      <c r="A151" s="10" t="inlineStr"/>
      <c r="B151" s="9" t="inlineStr"/>
      <c r="C151" s="9" t="inlineStr"/>
      <c r="D151" s="9" t="inlineStr"/>
      <c r="E151" s="9" t="inlineStr"/>
      <c r="F151" s="10" t="inlineStr"/>
      <c r="G151" s="9" t="inlineStr"/>
      <c r="H151" s="9" t="inlineStr"/>
      <c r="I151" s="9" t="inlineStr"/>
      <c r="J151" s="9">
        <f>IF(F151="","",IF(I151="انجام شده","انجام شده",IF(F151&lt;TODAY(),"عقب‌افتاده",IF(F151=TODAY(),"امروز",IF(F151&lt;=TODAY()+7,"تا ۷ روز","آینده")))))</f>
        <v/>
      </c>
      <c r="K151" s="9" t="inlineStr"/>
    </row>
    <row r="152">
      <c r="A152" s="10" t="inlineStr"/>
      <c r="B152" s="9" t="inlineStr"/>
      <c r="C152" s="9" t="inlineStr"/>
      <c r="D152" s="9" t="inlineStr"/>
      <c r="E152" s="9" t="inlineStr"/>
      <c r="F152" s="10" t="inlineStr"/>
      <c r="G152" s="9" t="inlineStr"/>
      <c r="H152" s="9" t="inlineStr"/>
      <c r="I152" s="9" t="inlineStr"/>
      <c r="J152" s="9">
        <f>IF(F152="","",IF(I152="انجام شده","انجام شده",IF(F152&lt;TODAY(),"عقب‌افتاده",IF(F152=TODAY(),"امروز",IF(F152&lt;=TODAY()+7,"تا ۷ روز","آینده")))))</f>
        <v/>
      </c>
      <c r="K152" s="9" t="inlineStr"/>
    </row>
    <row r="153">
      <c r="A153" s="10" t="inlineStr"/>
      <c r="B153" s="9" t="inlineStr"/>
      <c r="C153" s="9" t="inlineStr"/>
      <c r="D153" s="9" t="inlineStr"/>
      <c r="E153" s="9" t="inlineStr"/>
      <c r="F153" s="10" t="inlineStr"/>
      <c r="G153" s="9" t="inlineStr"/>
      <c r="H153" s="9" t="inlineStr"/>
      <c r="I153" s="9" t="inlineStr"/>
      <c r="J153" s="9">
        <f>IF(F153="","",IF(I153="انجام شده","انجام شده",IF(F153&lt;TODAY(),"عقب‌افتاده",IF(F153=TODAY(),"امروز",IF(F153&lt;=TODAY()+7,"تا ۷ روز","آینده")))))</f>
        <v/>
      </c>
      <c r="K153" s="9" t="inlineStr"/>
    </row>
    <row r="154">
      <c r="A154" s="10" t="inlineStr"/>
      <c r="B154" s="9" t="inlineStr"/>
      <c r="C154" s="9" t="inlineStr"/>
      <c r="D154" s="9" t="inlineStr"/>
      <c r="E154" s="9" t="inlineStr"/>
      <c r="F154" s="10" t="inlineStr"/>
      <c r="G154" s="9" t="inlineStr"/>
      <c r="H154" s="9" t="inlineStr"/>
      <c r="I154" s="9" t="inlineStr"/>
      <c r="J154" s="9">
        <f>IF(F154="","",IF(I154="انجام شده","انجام شده",IF(F154&lt;TODAY(),"عقب‌افتاده",IF(F154=TODAY(),"امروز",IF(F154&lt;=TODAY()+7,"تا ۷ روز","آینده")))))</f>
        <v/>
      </c>
      <c r="K154" s="9" t="inlineStr"/>
    </row>
    <row r="155">
      <c r="A155" s="10" t="inlineStr"/>
      <c r="B155" s="9" t="inlineStr"/>
      <c r="C155" s="9" t="inlineStr"/>
      <c r="D155" s="9" t="inlineStr"/>
      <c r="E155" s="9" t="inlineStr"/>
      <c r="F155" s="10" t="inlineStr"/>
      <c r="G155" s="9" t="inlineStr"/>
      <c r="H155" s="9" t="inlineStr"/>
      <c r="I155" s="9" t="inlineStr"/>
      <c r="J155" s="9">
        <f>IF(F155="","",IF(I155="انجام شده","انجام شده",IF(F155&lt;TODAY(),"عقب‌افتاده",IF(F155=TODAY(),"امروز",IF(F155&lt;=TODAY()+7,"تا ۷ روز","آینده")))))</f>
        <v/>
      </c>
      <c r="K155" s="9" t="inlineStr"/>
    </row>
    <row r="156">
      <c r="A156" s="10" t="inlineStr"/>
      <c r="B156" s="9" t="inlineStr"/>
      <c r="C156" s="9" t="inlineStr"/>
      <c r="D156" s="9" t="inlineStr"/>
      <c r="E156" s="9" t="inlineStr"/>
      <c r="F156" s="10" t="inlineStr"/>
      <c r="G156" s="9" t="inlineStr"/>
      <c r="H156" s="9" t="inlineStr"/>
      <c r="I156" s="9" t="inlineStr"/>
      <c r="J156" s="9">
        <f>IF(F156="","",IF(I156="انجام شده","انجام شده",IF(F156&lt;TODAY(),"عقب‌افتاده",IF(F156=TODAY(),"امروز",IF(F156&lt;=TODAY()+7,"تا ۷ روز","آینده")))))</f>
        <v/>
      </c>
      <c r="K156" s="9" t="inlineStr"/>
    </row>
    <row r="157">
      <c r="A157" s="10" t="inlineStr"/>
      <c r="B157" s="9" t="inlineStr"/>
      <c r="C157" s="9" t="inlineStr"/>
      <c r="D157" s="9" t="inlineStr"/>
      <c r="E157" s="9" t="inlineStr"/>
      <c r="F157" s="10" t="inlineStr"/>
      <c r="G157" s="9" t="inlineStr"/>
      <c r="H157" s="9" t="inlineStr"/>
      <c r="I157" s="9" t="inlineStr"/>
      <c r="J157" s="9">
        <f>IF(F157="","",IF(I157="انجام شده","انجام شده",IF(F157&lt;TODAY(),"عقب‌افتاده",IF(F157=TODAY(),"امروز",IF(F157&lt;=TODAY()+7,"تا ۷ روز","آینده")))))</f>
        <v/>
      </c>
      <c r="K157" s="9" t="inlineStr"/>
    </row>
    <row r="158">
      <c r="A158" s="10" t="inlineStr"/>
      <c r="B158" s="9" t="inlineStr"/>
      <c r="C158" s="9" t="inlineStr"/>
      <c r="D158" s="9" t="inlineStr"/>
      <c r="E158" s="9" t="inlineStr"/>
      <c r="F158" s="10" t="inlineStr"/>
      <c r="G158" s="9" t="inlineStr"/>
      <c r="H158" s="9" t="inlineStr"/>
      <c r="I158" s="9" t="inlineStr"/>
      <c r="J158" s="9">
        <f>IF(F158="","",IF(I158="انجام شده","انجام شده",IF(F158&lt;TODAY(),"عقب‌افتاده",IF(F158=TODAY(),"امروز",IF(F158&lt;=TODAY()+7,"تا ۷ روز","آینده")))))</f>
        <v/>
      </c>
      <c r="K158" s="9" t="inlineStr"/>
    </row>
    <row r="159">
      <c r="A159" s="10" t="inlineStr"/>
      <c r="B159" s="9" t="inlineStr"/>
      <c r="C159" s="9" t="inlineStr"/>
      <c r="D159" s="9" t="inlineStr"/>
      <c r="E159" s="9" t="inlineStr"/>
      <c r="F159" s="10" t="inlineStr"/>
      <c r="G159" s="9" t="inlineStr"/>
      <c r="H159" s="9" t="inlineStr"/>
      <c r="I159" s="9" t="inlineStr"/>
      <c r="J159" s="9">
        <f>IF(F159="","",IF(I159="انجام شده","انجام شده",IF(F159&lt;TODAY(),"عقب‌افتاده",IF(F159=TODAY(),"امروز",IF(F159&lt;=TODAY()+7,"تا ۷ روز","آینده")))))</f>
        <v/>
      </c>
      <c r="K159" s="9" t="inlineStr"/>
    </row>
    <row r="160">
      <c r="A160" s="10" t="inlineStr"/>
      <c r="B160" s="9" t="inlineStr"/>
      <c r="C160" s="9" t="inlineStr"/>
      <c r="D160" s="9" t="inlineStr"/>
      <c r="E160" s="9" t="inlineStr"/>
      <c r="F160" s="10" t="inlineStr"/>
      <c r="G160" s="9" t="inlineStr"/>
      <c r="H160" s="9" t="inlineStr"/>
      <c r="I160" s="9" t="inlineStr"/>
      <c r="J160" s="9">
        <f>IF(F160="","",IF(I160="انجام شده","انجام شده",IF(F160&lt;TODAY(),"عقب‌افتاده",IF(F160=TODAY(),"امروز",IF(F160&lt;=TODAY()+7,"تا ۷ روز","آینده")))))</f>
        <v/>
      </c>
      <c r="K160" s="9" t="inlineStr"/>
    </row>
    <row r="161">
      <c r="A161" s="10" t="inlineStr"/>
      <c r="B161" s="9" t="inlineStr"/>
      <c r="C161" s="9" t="inlineStr"/>
      <c r="D161" s="9" t="inlineStr"/>
      <c r="E161" s="9" t="inlineStr"/>
      <c r="F161" s="10" t="inlineStr"/>
      <c r="G161" s="9" t="inlineStr"/>
      <c r="H161" s="9" t="inlineStr"/>
      <c r="I161" s="9" t="inlineStr"/>
      <c r="J161" s="9">
        <f>IF(F161="","",IF(I161="انجام شده","انجام شده",IF(F161&lt;TODAY(),"عقب‌افتاده",IF(F161=TODAY(),"امروز",IF(F161&lt;=TODAY()+7,"تا ۷ روز","آینده")))))</f>
        <v/>
      </c>
      <c r="K161" s="9" t="inlineStr"/>
    </row>
    <row r="162">
      <c r="A162" s="10" t="inlineStr"/>
      <c r="B162" s="9" t="inlineStr"/>
      <c r="C162" s="9" t="inlineStr"/>
      <c r="D162" s="9" t="inlineStr"/>
      <c r="E162" s="9" t="inlineStr"/>
      <c r="F162" s="10" t="inlineStr"/>
      <c r="G162" s="9" t="inlineStr"/>
      <c r="H162" s="9" t="inlineStr"/>
      <c r="I162" s="9" t="inlineStr"/>
      <c r="J162" s="9">
        <f>IF(F162="","",IF(I162="انجام شده","انجام شده",IF(F162&lt;TODAY(),"عقب‌افتاده",IF(F162=TODAY(),"امروز",IF(F162&lt;=TODAY()+7,"تا ۷ روز","آینده")))))</f>
        <v/>
      </c>
      <c r="K162" s="9" t="inlineStr"/>
    </row>
    <row r="163">
      <c r="A163" s="10" t="inlineStr"/>
      <c r="B163" s="9" t="inlineStr"/>
      <c r="C163" s="9" t="inlineStr"/>
      <c r="D163" s="9" t="inlineStr"/>
      <c r="E163" s="9" t="inlineStr"/>
      <c r="F163" s="10" t="inlineStr"/>
      <c r="G163" s="9" t="inlineStr"/>
      <c r="H163" s="9" t="inlineStr"/>
      <c r="I163" s="9" t="inlineStr"/>
      <c r="J163" s="9">
        <f>IF(F163="","",IF(I163="انجام شده","انجام شده",IF(F163&lt;TODAY(),"عقب‌افتاده",IF(F163=TODAY(),"امروز",IF(F163&lt;=TODAY()+7,"تا ۷ روز","آینده")))))</f>
        <v/>
      </c>
      <c r="K163" s="9" t="inlineStr"/>
    </row>
    <row r="164">
      <c r="A164" s="10" t="inlineStr"/>
      <c r="B164" s="9" t="inlineStr"/>
      <c r="C164" s="9" t="inlineStr"/>
      <c r="D164" s="9" t="inlineStr"/>
      <c r="E164" s="9" t="inlineStr"/>
      <c r="F164" s="10" t="inlineStr"/>
      <c r="G164" s="9" t="inlineStr"/>
      <c r="H164" s="9" t="inlineStr"/>
      <c r="I164" s="9" t="inlineStr"/>
      <c r="J164" s="9">
        <f>IF(F164="","",IF(I164="انجام شده","انجام شده",IF(F164&lt;TODAY(),"عقب‌افتاده",IF(F164=TODAY(),"امروز",IF(F164&lt;=TODAY()+7,"تا ۷ روز","آینده")))))</f>
        <v/>
      </c>
      <c r="K164" s="9" t="inlineStr"/>
    </row>
    <row r="165">
      <c r="A165" s="10" t="inlineStr"/>
      <c r="B165" s="9" t="inlineStr"/>
      <c r="C165" s="9" t="inlineStr"/>
      <c r="D165" s="9" t="inlineStr"/>
      <c r="E165" s="9" t="inlineStr"/>
      <c r="F165" s="10" t="inlineStr"/>
      <c r="G165" s="9" t="inlineStr"/>
      <c r="H165" s="9" t="inlineStr"/>
      <c r="I165" s="9" t="inlineStr"/>
      <c r="J165" s="9">
        <f>IF(F165="","",IF(I165="انجام شده","انجام شده",IF(F165&lt;TODAY(),"عقب‌افتاده",IF(F165=TODAY(),"امروز",IF(F165&lt;=TODAY()+7,"تا ۷ روز","آینده")))))</f>
        <v/>
      </c>
      <c r="K165" s="9" t="inlineStr"/>
    </row>
    <row r="166">
      <c r="A166" s="10" t="inlineStr"/>
      <c r="B166" s="9" t="inlineStr"/>
      <c r="C166" s="9" t="inlineStr"/>
      <c r="D166" s="9" t="inlineStr"/>
      <c r="E166" s="9" t="inlineStr"/>
      <c r="F166" s="10" t="inlineStr"/>
      <c r="G166" s="9" t="inlineStr"/>
      <c r="H166" s="9" t="inlineStr"/>
      <c r="I166" s="9" t="inlineStr"/>
      <c r="J166" s="9">
        <f>IF(F166="","",IF(I166="انجام شده","انجام شده",IF(F166&lt;TODAY(),"عقب‌افتاده",IF(F166=TODAY(),"امروز",IF(F166&lt;=TODAY()+7,"تا ۷ روز","آینده")))))</f>
        <v/>
      </c>
      <c r="K166" s="9" t="inlineStr"/>
    </row>
    <row r="167">
      <c r="A167" s="10" t="inlineStr"/>
      <c r="B167" s="9" t="inlineStr"/>
      <c r="C167" s="9" t="inlineStr"/>
      <c r="D167" s="9" t="inlineStr"/>
      <c r="E167" s="9" t="inlineStr"/>
      <c r="F167" s="10" t="inlineStr"/>
      <c r="G167" s="9" t="inlineStr"/>
      <c r="H167" s="9" t="inlineStr"/>
      <c r="I167" s="9" t="inlineStr"/>
      <c r="J167" s="9">
        <f>IF(F167="","",IF(I167="انجام شده","انجام شده",IF(F167&lt;TODAY(),"عقب‌افتاده",IF(F167=TODAY(),"امروز",IF(F167&lt;=TODAY()+7,"تا ۷ روز","آینده")))))</f>
        <v/>
      </c>
      <c r="K167" s="9" t="inlineStr"/>
    </row>
    <row r="168">
      <c r="A168" s="10" t="inlineStr"/>
      <c r="B168" s="9" t="inlineStr"/>
      <c r="C168" s="9" t="inlineStr"/>
      <c r="D168" s="9" t="inlineStr"/>
      <c r="E168" s="9" t="inlineStr"/>
      <c r="F168" s="10" t="inlineStr"/>
      <c r="G168" s="9" t="inlineStr"/>
      <c r="H168" s="9" t="inlineStr"/>
      <c r="I168" s="9" t="inlineStr"/>
      <c r="J168" s="9">
        <f>IF(F168="","",IF(I168="انجام شده","انجام شده",IF(F168&lt;TODAY(),"عقب‌افتاده",IF(F168=TODAY(),"امروز",IF(F168&lt;=TODAY()+7,"تا ۷ روز","آینده")))))</f>
        <v/>
      </c>
      <c r="K168" s="9" t="inlineStr"/>
    </row>
    <row r="169">
      <c r="A169" s="10" t="inlineStr"/>
      <c r="B169" s="9" t="inlineStr"/>
      <c r="C169" s="9" t="inlineStr"/>
      <c r="D169" s="9" t="inlineStr"/>
      <c r="E169" s="9" t="inlineStr"/>
      <c r="F169" s="10" t="inlineStr"/>
      <c r="G169" s="9" t="inlineStr"/>
      <c r="H169" s="9" t="inlineStr"/>
      <c r="I169" s="9" t="inlineStr"/>
      <c r="J169" s="9">
        <f>IF(F169="","",IF(I169="انجام شده","انجام شده",IF(F169&lt;TODAY(),"عقب‌افتاده",IF(F169=TODAY(),"امروز",IF(F169&lt;=TODAY()+7,"تا ۷ روز","آینده")))))</f>
        <v/>
      </c>
      <c r="K169" s="9" t="inlineStr"/>
    </row>
    <row r="170">
      <c r="A170" s="10" t="inlineStr"/>
      <c r="B170" s="9" t="inlineStr"/>
      <c r="C170" s="9" t="inlineStr"/>
      <c r="D170" s="9" t="inlineStr"/>
      <c r="E170" s="9" t="inlineStr"/>
      <c r="F170" s="10" t="inlineStr"/>
      <c r="G170" s="9" t="inlineStr"/>
      <c r="H170" s="9" t="inlineStr"/>
      <c r="I170" s="9" t="inlineStr"/>
      <c r="J170" s="9">
        <f>IF(F170="","",IF(I170="انجام شده","انجام شده",IF(F170&lt;TODAY(),"عقب‌افتاده",IF(F170=TODAY(),"امروز",IF(F170&lt;=TODAY()+7,"تا ۷ روز","آینده")))))</f>
        <v/>
      </c>
      <c r="K170" s="9" t="inlineStr"/>
    </row>
    <row r="171">
      <c r="A171" s="10" t="inlineStr"/>
      <c r="B171" s="9" t="inlineStr"/>
      <c r="C171" s="9" t="inlineStr"/>
      <c r="D171" s="9" t="inlineStr"/>
      <c r="E171" s="9" t="inlineStr"/>
      <c r="F171" s="10" t="inlineStr"/>
      <c r="G171" s="9" t="inlineStr"/>
      <c r="H171" s="9" t="inlineStr"/>
      <c r="I171" s="9" t="inlineStr"/>
      <c r="J171" s="9">
        <f>IF(F171="","",IF(I171="انجام شده","انجام شده",IF(F171&lt;TODAY(),"عقب‌افتاده",IF(F171=TODAY(),"امروز",IF(F171&lt;=TODAY()+7,"تا ۷ روز","آینده")))))</f>
        <v/>
      </c>
      <c r="K171" s="9" t="inlineStr"/>
    </row>
    <row r="172">
      <c r="A172" s="10" t="inlineStr"/>
      <c r="B172" s="9" t="inlineStr"/>
      <c r="C172" s="9" t="inlineStr"/>
      <c r="D172" s="9" t="inlineStr"/>
      <c r="E172" s="9" t="inlineStr"/>
      <c r="F172" s="10" t="inlineStr"/>
      <c r="G172" s="9" t="inlineStr"/>
      <c r="H172" s="9" t="inlineStr"/>
      <c r="I172" s="9" t="inlineStr"/>
      <c r="J172" s="9">
        <f>IF(F172="","",IF(I172="انجام شده","انجام شده",IF(F172&lt;TODAY(),"عقب‌افتاده",IF(F172=TODAY(),"امروز",IF(F172&lt;=TODAY()+7,"تا ۷ روز","آینده")))))</f>
        <v/>
      </c>
      <c r="K172" s="9" t="inlineStr"/>
    </row>
    <row r="173">
      <c r="A173" s="10" t="inlineStr"/>
      <c r="B173" s="9" t="inlineStr"/>
      <c r="C173" s="9" t="inlineStr"/>
      <c r="D173" s="9" t="inlineStr"/>
      <c r="E173" s="9" t="inlineStr"/>
      <c r="F173" s="10" t="inlineStr"/>
      <c r="G173" s="9" t="inlineStr"/>
      <c r="H173" s="9" t="inlineStr"/>
      <c r="I173" s="9" t="inlineStr"/>
      <c r="J173" s="9">
        <f>IF(F173="","",IF(I173="انجام شده","انجام شده",IF(F173&lt;TODAY(),"عقب‌افتاده",IF(F173=TODAY(),"امروز",IF(F173&lt;=TODAY()+7,"تا ۷ روز","آینده")))))</f>
        <v/>
      </c>
      <c r="K173" s="9" t="inlineStr"/>
    </row>
    <row r="174">
      <c r="A174" s="10" t="inlineStr"/>
      <c r="B174" s="9" t="inlineStr"/>
      <c r="C174" s="9" t="inlineStr"/>
      <c r="D174" s="9" t="inlineStr"/>
      <c r="E174" s="9" t="inlineStr"/>
      <c r="F174" s="10" t="inlineStr"/>
      <c r="G174" s="9" t="inlineStr"/>
      <c r="H174" s="9" t="inlineStr"/>
      <c r="I174" s="9" t="inlineStr"/>
      <c r="J174" s="9">
        <f>IF(F174="","",IF(I174="انجام شده","انجام شده",IF(F174&lt;TODAY(),"عقب‌افتاده",IF(F174=TODAY(),"امروز",IF(F174&lt;=TODAY()+7,"تا ۷ روز","آینده")))))</f>
        <v/>
      </c>
      <c r="K174" s="9" t="inlineStr"/>
    </row>
    <row r="175">
      <c r="A175" s="10" t="inlineStr"/>
      <c r="B175" s="9" t="inlineStr"/>
      <c r="C175" s="9" t="inlineStr"/>
      <c r="D175" s="9" t="inlineStr"/>
      <c r="E175" s="9" t="inlineStr"/>
      <c r="F175" s="10" t="inlineStr"/>
      <c r="G175" s="9" t="inlineStr"/>
      <c r="H175" s="9" t="inlineStr"/>
      <c r="I175" s="9" t="inlineStr"/>
      <c r="J175" s="9">
        <f>IF(F175="","",IF(I175="انجام شده","انجام شده",IF(F175&lt;TODAY(),"عقب‌افتاده",IF(F175=TODAY(),"امروز",IF(F175&lt;=TODAY()+7,"تا ۷ روز","آینده")))))</f>
        <v/>
      </c>
      <c r="K175" s="9" t="inlineStr"/>
    </row>
    <row r="176">
      <c r="A176" s="10" t="inlineStr"/>
      <c r="B176" s="9" t="inlineStr"/>
      <c r="C176" s="9" t="inlineStr"/>
      <c r="D176" s="9" t="inlineStr"/>
      <c r="E176" s="9" t="inlineStr"/>
      <c r="F176" s="10" t="inlineStr"/>
      <c r="G176" s="9" t="inlineStr"/>
      <c r="H176" s="9" t="inlineStr"/>
      <c r="I176" s="9" t="inlineStr"/>
      <c r="J176" s="9">
        <f>IF(F176="","",IF(I176="انجام شده","انجام شده",IF(F176&lt;TODAY(),"عقب‌افتاده",IF(F176=TODAY(),"امروز",IF(F176&lt;=TODAY()+7,"تا ۷ روز","آینده")))))</f>
        <v/>
      </c>
      <c r="K176" s="9" t="inlineStr"/>
    </row>
    <row r="177">
      <c r="A177" s="10" t="inlineStr"/>
      <c r="B177" s="9" t="inlineStr"/>
      <c r="C177" s="9" t="inlineStr"/>
      <c r="D177" s="9" t="inlineStr"/>
      <c r="E177" s="9" t="inlineStr"/>
      <c r="F177" s="10" t="inlineStr"/>
      <c r="G177" s="9" t="inlineStr"/>
      <c r="H177" s="9" t="inlineStr"/>
      <c r="I177" s="9" t="inlineStr"/>
      <c r="J177" s="9">
        <f>IF(F177="","",IF(I177="انجام شده","انجام شده",IF(F177&lt;TODAY(),"عقب‌افتاده",IF(F177=TODAY(),"امروز",IF(F177&lt;=TODAY()+7,"تا ۷ روز","آینده")))))</f>
        <v/>
      </c>
      <c r="K177" s="9" t="inlineStr"/>
    </row>
    <row r="178">
      <c r="A178" s="10" t="inlineStr"/>
      <c r="B178" s="9" t="inlineStr"/>
      <c r="C178" s="9" t="inlineStr"/>
      <c r="D178" s="9" t="inlineStr"/>
      <c r="E178" s="9" t="inlineStr"/>
      <c r="F178" s="10" t="inlineStr"/>
      <c r="G178" s="9" t="inlineStr"/>
      <c r="H178" s="9" t="inlineStr"/>
      <c r="I178" s="9" t="inlineStr"/>
      <c r="J178" s="9">
        <f>IF(F178="","",IF(I178="انجام شده","انجام شده",IF(F178&lt;TODAY(),"عقب‌افتاده",IF(F178=TODAY(),"امروز",IF(F178&lt;=TODAY()+7,"تا ۷ روز","آینده")))))</f>
        <v/>
      </c>
      <c r="K178" s="9" t="inlineStr"/>
    </row>
    <row r="179">
      <c r="A179" s="10" t="inlineStr"/>
      <c r="B179" s="9" t="inlineStr"/>
      <c r="C179" s="9" t="inlineStr"/>
      <c r="D179" s="9" t="inlineStr"/>
      <c r="E179" s="9" t="inlineStr"/>
      <c r="F179" s="10" t="inlineStr"/>
      <c r="G179" s="9" t="inlineStr"/>
      <c r="H179" s="9" t="inlineStr"/>
      <c r="I179" s="9" t="inlineStr"/>
      <c r="J179" s="9">
        <f>IF(F179="","",IF(I179="انجام شده","انجام شده",IF(F179&lt;TODAY(),"عقب‌افتاده",IF(F179=TODAY(),"امروز",IF(F179&lt;=TODAY()+7,"تا ۷ روز","آینده")))))</f>
        <v/>
      </c>
      <c r="K179" s="9" t="inlineStr"/>
    </row>
    <row r="180">
      <c r="A180" s="10" t="inlineStr"/>
      <c r="B180" s="9" t="inlineStr"/>
      <c r="C180" s="9" t="inlineStr"/>
      <c r="D180" s="9" t="inlineStr"/>
      <c r="E180" s="9" t="inlineStr"/>
      <c r="F180" s="10" t="inlineStr"/>
      <c r="G180" s="9" t="inlineStr"/>
      <c r="H180" s="9" t="inlineStr"/>
      <c r="I180" s="9" t="inlineStr"/>
      <c r="J180" s="9">
        <f>IF(F180="","",IF(I180="انجام شده","انجام شده",IF(F180&lt;TODAY(),"عقب‌افتاده",IF(F180=TODAY(),"امروز",IF(F180&lt;=TODAY()+7,"تا ۷ روز","آینده")))))</f>
        <v/>
      </c>
      <c r="K180" s="9" t="inlineStr"/>
    </row>
    <row r="181">
      <c r="A181" s="10" t="inlineStr"/>
      <c r="B181" s="9" t="inlineStr"/>
      <c r="C181" s="9" t="inlineStr"/>
      <c r="D181" s="9" t="inlineStr"/>
      <c r="E181" s="9" t="inlineStr"/>
      <c r="F181" s="10" t="inlineStr"/>
      <c r="G181" s="9" t="inlineStr"/>
      <c r="H181" s="9" t="inlineStr"/>
      <c r="I181" s="9" t="inlineStr"/>
      <c r="J181" s="9">
        <f>IF(F181="","",IF(I181="انجام شده","انجام شده",IF(F181&lt;TODAY(),"عقب‌افتاده",IF(F181=TODAY(),"امروز",IF(F181&lt;=TODAY()+7,"تا ۷ روز","آینده")))))</f>
        <v/>
      </c>
      <c r="K181" s="9" t="inlineStr"/>
    </row>
    <row r="182">
      <c r="A182" s="10" t="inlineStr"/>
      <c r="B182" s="9" t="inlineStr"/>
      <c r="C182" s="9" t="inlineStr"/>
      <c r="D182" s="9" t="inlineStr"/>
      <c r="E182" s="9" t="inlineStr"/>
      <c r="F182" s="10" t="inlineStr"/>
      <c r="G182" s="9" t="inlineStr"/>
      <c r="H182" s="9" t="inlineStr"/>
      <c r="I182" s="9" t="inlineStr"/>
      <c r="J182" s="9">
        <f>IF(F182="","",IF(I182="انجام شده","انجام شده",IF(F182&lt;TODAY(),"عقب‌افتاده",IF(F182=TODAY(),"امروز",IF(F182&lt;=TODAY()+7,"تا ۷ روز","آینده")))))</f>
        <v/>
      </c>
      <c r="K182" s="9" t="inlineStr"/>
    </row>
    <row r="183">
      <c r="A183" s="10" t="inlineStr"/>
      <c r="B183" s="9" t="inlineStr"/>
      <c r="C183" s="9" t="inlineStr"/>
      <c r="D183" s="9" t="inlineStr"/>
      <c r="E183" s="9" t="inlineStr"/>
      <c r="F183" s="10" t="inlineStr"/>
      <c r="G183" s="9" t="inlineStr"/>
      <c r="H183" s="9" t="inlineStr"/>
      <c r="I183" s="9" t="inlineStr"/>
      <c r="J183" s="9">
        <f>IF(F183="","",IF(I183="انجام شده","انجام شده",IF(F183&lt;TODAY(),"عقب‌افتاده",IF(F183=TODAY(),"امروز",IF(F183&lt;=TODAY()+7,"تا ۷ روز","آینده")))))</f>
        <v/>
      </c>
      <c r="K183" s="9" t="inlineStr"/>
    </row>
    <row r="184">
      <c r="A184" s="10" t="inlineStr"/>
      <c r="B184" s="9" t="inlineStr"/>
      <c r="C184" s="9" t="inlineStr"/>
      <c r="D184" s="9" t="inlineStr"/>
      <c r="E184" s="9" t="inlineStr"/>
      <c r="F184" s="10" t="inlineStr"/>
      <c r="G184" s="9" t="inlineStr"/>
      <c r="H184" s="9" t="inlineStr"/>
      <c r="I184" s="9" t="inlineStr"/>
      <c r="J184" s="9">
        <f>IF(F184="","",IF(I184="انجام شده","انجام شده",IF(F184&lt;TODAY(),"عقب‌افتاده",IF(F184=TODAY(),"امروز",IF(F184&lt;=TODAY()+7,"تا ۷ روز","آینده")))))</f>
        <v/>
      </c>
      <c r="K184" s="9" t="inlineStr"/>
    </row>
    <row r="185">
      <c r="A185" s="10" t="inlineStr"/>
      <c r="B185" s="9" t="inlineStr"/>
      <c r="C185" s="9" t="inlineStr"/>
      <c r="D185" s="9" t="inlineStr"/>
      <c r="E185" s="9" t="inlineStr"/>
      <c r="F185" s="10" t="inlineStr"/>
      <c r="G185" s="9" t="inlineStr"/>
      <c r="H185" s="9" t="inlineStr"/>
      <c r="I185" s="9" t="inlineStr"/>
      <c r="J185" s="9">
        <f>IF(F185="","",IF(I185="انجام شده","انجام شده",IF(F185&lt;TODAY(),"عقب‌افتاده",IF(F185=TODAY(),"امروز",IF(F185&lt;=TODAY()+7,"تا ۷ روز","آینده")))))</f>
        <v/>
      </c>
      <c r="K185" s="9" t="inlineStr"/>
    </row>
    <row r="186">
      <c r="A186" s="10" t="inlineStr"/>
      <c r="B186" s="9" t="inlineStr"/>
      <c r="C186" s="9" t="inlineStr"/>
      <c r="D186" s="9" t="inlineStr"/>
      <c r="E186" s="9" t="inlineStr"/>
      <c r="F186" s="10" t="inlineStr"/>
      <c r="G186" s="9" t="inlineStr"/>
      <c r="H186" s="9" t="inlineStr"/>
      <c r="I186" s="9" t="inlineStr"/>
      <c r="J186" s="9">
        <f>IF(F186="","",IF(I186="انجام شده","انجام شده",IF(F186&lt;TODAY(),"عقب‌افتاده",IF(F186=TODAY(),"امروز",IF(F186&lt;=TODAY()+7,"تا ۷ روز","آینده")))))</f>
        <v/>
      </c>
      <c r="K186" s="9" t="inlineStr"/>
    </row>
    <row r="187">
      <c r="A187" s="10" t="inlineStr"/>
      <c r="B187" s="9" t="inlineStr"/>
      <c r="C187" s="9" t="inlineStr"/>
      <c r="D187" s="9" t="inlineStr"/>
      <c r="E187" s="9" t="inlineStr"/>
      <c r="F187" s="10" t="inlineStr"/>
      <c r="G187" s="9" t="inlineStr"/>
      <c r="H187" s="9" t="inlineStr"/>
      <c r="I187" s="9" t="inlineStr"/>
      <c r="J187" s="9">
        <f>IF(F187="","",IF(I187="انجام شده","انجام شده",IF(F187&lt;TODAY(),"عقب‌افتاده",IF(F187=TODAY(),"امروز",IF(F187&lt;=TODAY()+7,"تا ۷ روز","آینده")))))</f>
        <v/>
      </c>
      <c r="K187" s="9" t="inlineStr"/>
    </row>
    <row r="188">
      <c r="A188" s="10" t="inlineStr"/>
      <c r="B188" s="9" t="inlineStr"/>
      <c r="C188" s="9" t="inlineStr"/>
      <c r="D188" s="9" t="inlineStr"/>
      <c r="E188" s="9" t="inlineStr"/>
      <c r="F188" s="10" t="inlineStr"/>
      <c r="G188" s="9" t="inlineStr"/>
      <c r="H188" s="9" t="inlineStr"/>
      <c r="I188" s="9" t="inlineStr"/>
      <c r="J188" s="9">
        <f>IF(F188="","",IF(I188="انجام شده","انجام شده",IF(F188&lt;TODAY(),"عقب‌افتاده",IF(F188=TODAY(),"امروز",IF(F188&lt;=TODAY()+7,"تا ۷ روز","آینده")))))</f>
        <v/>
      </c>
      <c r="K188" s="9" t="inlineStr"/>
    </row>
    <row r="189">
      <c r="A189" s="10" t="inlineStr"/>
      <c r="B189" s="9" t="inlineStr"/>
      <c r="C189" s="9" t="inlineStr"/>
      <c r="D189" s="9" t="inlineStr"/>
      <c r="E189" s="9" t="inlineStr"/>
      <c r="F189" s="10" t="inlineStr"/>
      <c r="G189" s="9" t="inlineStr"/>
      <c r="H189" s="9" t="inlineStr"/>
      <c r="I189" s="9" t="inlineStr"/>
      <c r="J189" s="9">
        <f>IF(F189="","",IF(I189="انجام شده","انجام شده",IF(F189&lt;TODAY(),"عقب‌افتاده",IF(F189=TODAY(),"امروز",IF(F189&lt;=TODAY()+7,"تا ۷ روز","آینده")))))</f>
        <v/>
      </c>
      <c r="K189" s="9" t="inlineStr"/>
    </row>
    <row r="190">
      <c r="A190" s="10" t="inlineStr"/>
      <c r="B190" s="9" t="inlineStr"/>
      <c r="C190" s="9" t="inlineStr"/>
      <c r="D190" s="9" t="inlineStr"/>
      <c r="E190" s="9" t="inlineStr"/>
      <c r="F190" s="10" t="inlineStr"/>
      <c r="G190" s="9" t="inlineStr"/>
      <c r="H190" s="9" t="inlineStr"/>
      <c r="I190" s="9" t="inlineStr"/>
      <c r="J190" s="9">
        <f>IF(F190="","",IF(I190="انجام شده","انجام شده",IF(F190&lt;TODAY(),"عقب‌افتاده",IF(F190=TODAY(),"امروز",IF(F190&lt;=TODAY()+7,"تا ۷ روز","آینده")))))</f>
        <v/>
      </c>
      <c r="K190" s="9" t="inlineStr"/>
    </row>
    <row r="191">
      <c r="A191" s="10" t="inlineStr"/>
      <c r="B191" s="9" t="inlineStr"/>
      <c r="C191" s="9" t="inlineStr"/>
      <c r="D191" s="9" t="inlineStr"/>
      <c r="E191" s="9" t="inlineStr"/>
      <c r="F191" s="10" t="inlineStr"/>
      <c r="G191" s="9" t="inlineStr"/>
      <c r="H191" s="9" t="inlineStr"/>
      <c r="I191" s="9" t="inlineStr"/>
      <c r="J191" s="9">
        <f>IF(F191="","",IF(I191="انجام شده","انجام شده",IF(F191&lt;TODAY(),"عقب‌افتاده",IF(F191=TODAY(),"امروز",IF(F191&lt;=TODAY()+7,"تا ۷ روز","آینده")))))</f>
        <v/>
      </c>
      <c r="K191" s="9" t="inlineStr"/>
    </row>
    <row r="192">
      <c r="A192" s="10" t="inlineStr"/>
      <c r="B192" s="9" t="inlineStr"/>
      <c r="C192" s="9" t="inlineStr"/>
      <c r="D192" s="9" t="inlineStr"/>
      <c r="E192" s="9" t="inlineStr"/>
      <c r="F192" s="10" t="inlineStr"/>
      <c r="G192" s="9" t="inlineStr"/>
      <c r="H192" s="9" t="inlineStr"/>
      <c r="I192" s="9" t="inlineStr"/>
      <c r="J192" s="9">
        <f>IF(F192="","",IF(I192="انجام شده","انجام شده",IF(F192&lt;TODAY(),"عقب‌افتاده",IF(F192=TODAY(),"امروز",IF(F192&lt;=TODAY()+7,"تا ۷ روز","آینده")))))</f>
        <v/>
      </c>
      <c r="K192" s="9" t="inlineStr"/>
    </row>
    <row r="193">
      <c r="A193" s="10" t="inlineStr"/>
      <c r="B193" s="9" t="inlineStr"/>
      <c r="C193" s="9" t="inlineStr"/>
      <c r="D193" s="9" t="inlineStr"/>
      <c r="E193" s="9" t="inlineStr"/>
      <c r="F193" s="10" t="inlineStr"/>
      <c r="G193" s="9" t="inlineStr"/>
      <c r="H193" s="9" t="inlineStr"/>
      <c r="I193" s="9" t="inlineStr"/>
      <c r="J193" s="9">
        <f>IF(F193="","",IF(I193="انجام شده","انجام شده",IF(F193&lt;TODAY(),"عقب‌افتاده",IF(F193=TODAY(),"امروز",IF(F193&lt;=TODAY()+7,"تا ۷ روز","آینده")))))</f>
        <v/>
      </c>
      <c r="K193" s="9" t="inlineStr"/>
    </row>
    <row r="194">
      <c r="A194" s="10" t="inlineStr"/>
      <c r="B194" s="9" t="inlineStr"/>
      <c r="C194" s="9" t="inlineStr"/>
      <c r="D194" s="9" t="inlineStr"/>
      <c r="E194" s="9" t="inlineStr"/>
      <c r="F194" s="10" t="inlineStr"/>
      <c r="G194" s="9" t="inlineStr"/>
      <c r="H194" s="9" t="inlineStr"/>
      <c r="I194" s="9" t="inlineStr"/>
      <c r="J194" s="9">
        <f>IF(F194="","",IF(I194="انجام شده","انجام شده",IF(F194&lt;TODAY(),"عقب‌افتاده",IF(F194=TODAY(),"امروز",IF(F194&lt;=TODAY()+7,"تا ۷ روز","آینده")))))</f>
        <v/>
      </c>
      <c r="K194" s="9" t="inlineStr"/>
    </row>
    <row r="195">
      <c r="A195" s="10" t="inlineStr"/>
      <c r="B195" s="9" t="inlineStr"/>
      <c r="C195" s="9" t="inlineStr"/>
      <c r="D195" s="9" t="inlineStr"/>
      <c r="E195" s="9" t="inlineStr"/>
      <c r="F195" s="10" t="inlineStr"/>
      <c r="G195" s="9" t="inlineStr"/>
      <c r="H195" s="9" t="inlineStr"/>
      <c r="I195" s="9" t="inlineStr"/>
      <c r="J195" s="9">
        <f>IF(F195="","",IF(I195="انجام شده","انجام شده",IF(F195&lt;TODAY(),"عقب‌افتاده",IF(F195=TODAY(),"امروز",IF(F195&lt;=TODAY()+7,"تا ۷ روز","آینده")))))</f>
        <v/>
      </c>
      <c r="K195" s="9" t="inlineStr"/>
    </row>
    <row r="196">
      <c r="A196" s="10" t="inlineStr"/>
      <c r="B196" s="9" t="inlineStr"/>
      <c r="C196" s="9" t="inlineStr"/>
      <c r="D196" s="9" t="inlineStr"/>
      <c r="E196" s="9" t="inlineStr"/>
      <c r="F196" s="10" t="inlineStr"/>
      <c r="G196" s="9" t="inlineStr"/>
      <c r="H196" s="9" t="inlineStr"/>
      <c r="I196" s="9" t="inlineStr"/>
      <c r="J196" s="9">
        <f>IF(F196="","",IF(I196="انجام شده","انجام شده",IF(F196&lt;TODAY(),"عقب‌افتاده",IF(F196=TODAY(),"امروز",IF(F196&lt;=TODAY()+7,"تا ۷ روز","آینده")))))</f>
        <v/>
      </c>
      <c r="K196" s="9" t="inlineStr"/>
    </row>
    <row r="197">
      <c r="A197" s="10" t="inlineStr"/>
      <c r="B197" s="9" t="inlineStr"/>
      <c r="C197" s="9" t="inlineStr"/>
      <c r="D197" s="9" t="inlineStr"/>
      <c r="E197" s="9" t="inlineStr"/>
      <c r="F197" s="10" t="inlineStr"/>
      <c r="G197" s="9" t="inlineStr"/>
      <c r="H197" s="9" t="inlineStr"/>
      <c r="I197" s="9" t="inlineStr"/>
      <c r="J197" s="9">
        <f>IF(F197="","",IF(I197="انجام شده","انجام شده",IF(F197&lt;TODAY(),"عقب‌افتاده",IF(F197=TODAY(),"امروز",IF(F197&lt;=TODAY()+7,"تا ۷ روز","آینده")))))</f>
        <v/>
      </c>
      <c r="K197" s="9" t="inlineStr"/>
    </row>
    <row r="198">
      <c r="A198" s="10" t="inlineStr"/>
      <c r="B198" s="9" t="inlineStr"/>
      <c r="C198" s="9" t="inlineStr"/>
      <c r="D198" s="9" t="inlineStr"/>
      <c r="E198" s="9" t="inlineStr"/>
      <c r="F198" s="10" t="inlineStr"/>
      <c r="G198" s="9" t="inlineStr"/>
      <c r="H198" s="9" t="inlineStr"/>
      <c r="I198" s="9" t="inlineStr"/>
      <c r="J198" s="9">
        <f>IF(F198="","",IF(I198="انجام شده","انجام شده",IF(F198&lt;TODAY(),"عقب‌افتاده",IF(F198=TODAY(),"امروز",IF(F198&lt;=TODAY()+7,"تا ۷ روز","آینده")))))</f>
        <v/>
      </c>
      <c r="K198" s="9" t="inlineStr"/>
    </row>
    <row r="199">
      <c r="A199" s="10" t="inlineStr"/>
      <c r="B199" s="9" t="inlineStr"/>
      <c r="C199" s="9" t="inlineStr"/>
      <c r="D199" s="9" t="inlineStr"/>
      <c r="E199" s="9" t="inlineStr"/>
      <c r="F199" s="10" t="inlineStr"/>
      <c r="G199" s="9" t="inlineStr"/>
      <c r="H199" s="9" t="inlineStr"/>
      <c r="I199" s="9" t="inlineStr"/>
      <c r="J199" s="9">
        <f>IF(F199="","",IF(I199="انجام شده","انجام شده",IF(F199&lt;TODAY(),"عقب‌افتاده",IF(F199=TODAY(),"امروز",IF(F199&lt;=TODAY()+7,"تا ۷ روز","آینده")))))</f>
        <v/>
      </c>
      <c r="K199" s="9" t="inlineStr"/>
    </row>
    <row r="200">
      <c r="A200" s="10" t="inlineStr"/>
      <c r="B200" s="9" t="inlineStr"/>
      <c r="C200" s="9" t="inlineStr"/>
      <c r="D200" s="9" t="inlineStr"/>
      <c r="E200" s="9" t="inlineStr"/>
      <c r="F200" s="10" t="inlineStr"/>
      <c r="G200" s="9" t="inlineStr"/>
      <c r="H200" s="9" t="inlineStr"/>
      <c r="I200" s="9" t="inlineStr"/>
      <c r="J200" s="9">
        <f>IF(F200="","",IF(I200="انجام شده","انجام شده",IF(F200&lt;TODAY(),"عقب‌افتاده",IF(F200=TODAY(),"امروز",IF(F200&lt;=TODAY()+7,"تا ۷ روز","آینده")))))</f>
        <v/>
      </c>
      <c r="K200" s="9" t="inlineStr"/>
    </row>
  </sheetData>
  <conditionalFormatting sqref="A2:K200">
    <cfRule type="expression" priority="1" dxfId="0">
      <formula>$J2="عقب‌افتاده"</formula>
    </cfRule>
    <cfRule type="expression" priority="2" dxfId="1">
      <formula>$J2="امروز"</formula>
    </cfRule>
  </conditionalFormatting>
  <dataValidations count="3">
    <dataValidation sqref="B2:B200" showDropDown="0" showInputMessage="0" showErrorMessage="0" allowBlank="1" type="list">
      <formula1>'تنظیمات'!$A$3:$A$7</formula1>
    </dataValidation>
    <dataValidation sqref="H2:H200" showDropDown="0" showInputMessage="0" showErrorMessage="0" allowBlank="1" type="list">
      <formula1>'تنظیمات'!$C$2:$C$5</formula1>
    </dataValidation>
    <dataValidation sqref="I2:I200" showDropDown="0" showInputMessage="0" showErrorMessage="0" allowBlank="1" type="list">
      <formula1>'تنظیمات'!$G$2:$G$6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0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6" customWidth="1" min="4" max="4"/>
    <col width="16" customWidth="1" min="5" max="5"/>
    <col width="22" customWidth="1" min="6" max="6"/>
    <col width="40" customWidth="1" min="7" max="7"/>
    <col width="35" customWidth="1" min="8" max="8"/>
    <col width="14" customWidth="1" min="9" max="9"/>
    <col width="16" customWidth="1" min="10" max="10"/>
    <col width="16" customWidth="1" min="11" max="11"/>
    <col width="35" customWidth="1" min="12" max="12"/>
  </cols>
  <sheetData>
    <row r="1">
      <c r="A1" s="8" t="inlineStr">
        <is>
          <t>شرکت</t>
        </is>
      </c>
      <c r="B1" s="8" t="inlineStr">
        <is>
          <t>حساب/بانک</t>
        </is>
      </c>
      <c r="C1" s="8" t="inlineStr">
        <is>
          <t>دوره/ماه</t>
        </is>
      </c>
      <c r="D1" s="8" t="inlineStr">
        <is>
          <t>تاریخ کشف</t>
        </is>
      </c>
      <c r="E1" s="8" t="inlineStr">
        <is>
          <t>مبلغ</t>
        </is>
      </c>
      <c r="F1" s="8" t="inlineStr">
        <is>
          <t>نوع مغایرت</t>
        </is>
      </c>
      <c r="G1" s="8" t="inlineStr">
        <is>
          <t>شرح مغایرت</t>
        </is>
      </c>
      <c r="H1" s="8" t="inlineStr">
        <is>
          <t>اقدام اصلاحی</t>
        </is>
      </c>
      <c r="I1" s="8" t="inlineStr">
        <is>
          <t>وضعیت</t>
        </is>
      </c>
      <c r="J1" s="8" t="inlineStr">
        <is>
          <t>مسئول</t>
        </is>
      </c>
      <c r="K1" s="8" t="inlineStr">
        <is>
          <t>تاریخ هدف</t>
        </is>
      </c>
      <c r="L1" s="8" t="inlineStr">
        <is>
          <t>توضیحات</t>
        </is>
      </c>
    </row>
    <row r="2">
      <c r="A2" s="9" t="inlineStr"/>
      <c r="B2" s="9" t="inlineStr"/>
      <c r="C2" s="9" t="inlineStr"/>
      <c r="D2" s="10" t="inlineStr"/>
      <c r="E2" s="11" t="inlineStr"/>
      <c r="F2" s="9" t="inlineStr"/>
      <c r="G2" s="9" t="inlineStr"/>
      <c r="H2" s="9" t="inlineStr"/>
      <c r="I2" s="9" t="inlineStr"/>
      <c r="J2" s="9" t="inlineStr"/>
      <c r="K2" s="10" t="inlineStr"/>
      <c r="L2" s="9" t="inlineStr"/>
    </row>
    <row r="3">
      <c r="A3" s="9" t="inlineStr"/>
      <c r="B3" s="9" t="inlineStr"/>
      <c r="C3" s="9" t="inlineStr"/>
      <c r="D3" s="10" t="inlineStr"/>
      <c r="E3" s="11" t="inlineStr"/>
      <c r="F3" s="9" t="inlineStr"/>
      <c r="G3" s="9" t="inlineStr"/>
      <c r="H3" s="9" t="inlineStr"/>
      <c r="I3" s="9" t="inlineStr"/>
      <c r="J3" s="9" t="inlineStr"/>
      <c r="K3" s="10" t="inlineStr"/>
      <c r="L3" s="9" t="inlineStr"/>
    </row>
    <row r="4">
      <c r="A4" s="9" t="inlineStr"/>
      <c r="B4" s="9" t="inlineStr"/>
      <c r="C4" s="9" t="inlineStr"/>
      <c r="D4" s="10" t="inlineStr"/>
      <c r="E4" s="11" t="inlineStr"/>
      <c r="F4" s="9" t="inlineStr"/>
      <c r="G4" s="9" t="inlineStr"/>
      <c r="H4" s="9" t="inlineStr"/>
      <c r="I4" s="9" t="inlineStr"/>
      <c r="J4" s="9" t="inlineStr"/>
      <c r="K4" s="10" t="inlineStr"/>
      <c r="L4" s="9" t="inlineStr"/>
    </row>
    <row r="5">
      <c r="A5" s="9" t="inlineStr"/>
      <c r="B5" s="9" t="inlineStr"/>
      <c r="C5" s="9" t="inlineStr"/>
      <c r="D5" s="10" t="inlineStr"/>
      <c r="E5" s="11" t="inlineStr"/>
      <c r="F5" s="9" t="inlineStr"/>
      <c r="G5" s="9" t="inlineStr"/>
      <c r="H5" s="9" t="inlineStr"/>
      <c r="I5" s="9" t="inlineStr"/>
      <c r="J5" s="9" t="inlineStr"/>
      <c r="K5" s="10" t="inlineStr"/>
      <c r="L5" s="9" t="inlineStr"/>
    </row>
    <row r="6">
      <c r="A6" s="9" t="inlineStr"/>
      <c r="B6" s="9" t="inlineStr"/>
      <c r="C6" s="9" t="inlineStr"/>
      <c r="D6" s="10" t="inlineStr"/>
      <c r="E6" s="11" t="inlineStr"/>
      <c r="F6" s="9" t="inlineStr"/>
      <c r="G6" s="9" t="inlineStr"/>
      <c r="H6" s="9" t="inlineStr"/>
      <c r="I6" s="9" t="inlineStr"/>
      <c r="J6" s="9" t="inlineStr"/>
      <c r="K6" s="10" t="inlineStr"/>
      <c r="L6" s="9" t="inlineStr"/>
    </row>
    <row r="7">
      <c r="A7" s="9" t="inlineStr"/>
      <c r="B7" s="9" t="inlineStr"/>
      <c r="C7" s="9" t="inlineStr"/>
      <c r="D7" s="10" t="inlineStr"/>
      <c r="E7" s="11" t="inlineStr"/>
      <c r="F7" s="9" t="inlineStr"/>
      <c r="G7" s="9" t="inlineStr"/>
      <c r="H7" s="9" t="inlineStr"/>
      <c r="I7" s="9" t="inlineStr"/>
      <c r="J7" s="9" t="inlineStr"/>
      <c r="K7" s="10" t="inlineStr"/>
      <c r="L7" s="9" t="inlineStr"/>
    </row>
    <row r="8">
      <c r="A8" s="9" t="inlineStr"/>
      <c r="B8" s="9" t="inlineStr"/>
      <c r="C8" s="9" t="inlineStr"/>
      <c r="D8" s="10" t="inlineStr"/>
      <c r="E8" s="11" t="inlineStr"/>
      <c r="F8" s="9" t="inlineStr"/>
      <c r="G8" s="9" t="inlineStr"/>
      <c r="H8" s="9" t="inlineStr"/>
      <c r="I8" s="9" t="inlineStr"/>
      <c r="J8" s="9" t="inlineStr"/>
      <c r="K8" s="10" t="inlineStr"/>
      <c r="L8" s="9" t="inlineStr"/>
    </row>
    <row r="9">
      <c r="A9" s="9" t="inlineStr"/>
      <c r="B9" s="9" t="inlineStr"/>
      <c r="C9" s="9" t="inlineStr"/>
      <c r="D9" s="10" t="inlineStr"/>
      <c r="E9" s="11" t="inlineStr"/>
      <c r="F9" s="9" t="inlineStr"/>
      <c r="G9" s="9" t="inlineStr"/>
      <c r="H9" s="9" t="inlineStr"/>
      <c r="I9" s="9" t="inlineStr"/>
      <c r="J9" s="9" t="inlineStr"/>
      <c r="K9" s="10" t="inlineStr"/>
      <c r="L9" s="9" t="inlineStr"/>
    </row>
    <row r="10">
      <c r="A10" s="9" t="inlineStr"/>
      <c r="B10" s="9" t="inlineStr"/>
      <c r="C10" s="9" t="inlineStr"/>
      <c r="D10" s="10" t="inlineStr"/>
      <c r="E10" s="11" t="inlineStr"/>
      <c r="F10" s="9" t="inlineStr"/>
      <c r="G10" s="9" t="inlineStr"/>
      <c r="H10" s="9" t="inlineStr"/>
      <c r="I10" s="9" t="inlineStr"/>
      <c r="J10" s="9" t="inlineStr"/>
      <c r="K10" s="10" t="inlineStr"/>
      <c r="L10" s="9" t="inlineStr"/>
    </row>
    <row r="11">
      <c r="A11" s="9" t="inlineStr"/>
      <c r="B11" s="9" t="inlineStr"/>
      <c r="C11" s="9" t="inlineStr"/>
      <c r="D11" s="10" t="inlineStr"/>
      <c r="E11" s="11" t="inlineStr"/>
      <c r="F11" s="9" t="inlineStr"/>
      <c r="G11" s="9" t="inlineStr"/>
      <c r="H11" s="9" t="inlineStr"/>
      <c r="I11" s="9" t="inlineStr"/>
      <c r="J11" s="9" t="inlineStr"/>
      <c r="K11" s="10" t="inlineStr"/>
      <c r="L11" s="9" t="inlineStr"/>
    </row>
    <row r="12">
      <c r="A12" s="9" t="inlineStr"/>
      <c r="B12" s="9" t="inlineStr"/>
      <c r="C12" s="9" t="inlineStr"/>
      <c r="D12" s="10" t="inlineStr"/>
      <c r="E12" s="11" t="inlineStr"/>
      <c r="F12" s="9" t="inlineStr"/>
      <c r="G12" s="9" t="inlineStr"/>
      <c r="H12" s="9" t="inlineStr"/>
      <c r="I12" s="9" t="inlineStr"/>
      <c r="J12" s="9" t="inlineStr"/>
      <c r="K12" s="10" t="inlineStr"/>
      <c r="L12" s="9" t="inlineStr"/>
    </row>
    <row r="13">
      <c r="A13" s="9" t="inlineStr"/>
      <c r="B13" s="9" t="inlineStr"/>
      <c r="C13" s="9" t="inlineStr"/>
      <c r="D13" s="10" t="inlineStr"/>
      <c r="E13" s="11" t="inlineStr"/>
      <c r="F13" s="9" t="inlineStr"/>
      <c r="G13" s="9" t="inlineStr"/>
      <c r="H13" s="9" t="inlineStr"/>
      <c r="I13" s="9" t="inlineStr"/>
      <c r="J13" s="9" t="inlineStr"/>
      <c r="K13" s="10" t="inlineStr"/>
      <c r="L13" s="9" t="inlineStr"/>
    </row>
    <row r="14">
      <c r="A14" s="9" t="inlineStr"/>
      <c r="B14" s="9" t="inlineStr"/>
      <c r="C14" s="9" t="inlineStr"/>
      <c r="D14" s="10" t="inlineStr"/>
      <c r="E14" s="11" t="inlineStr"/>
      <c r="F14" s="9" t="inlineStr"/>
      <c r="G14" s="9" t="inlineStr"/>
      <c r="H14" s="9" t="inlineStr"/>
      <c r="I14" s="9" t="inlineStr"/>
      <c r="J14" s="9" t="inlineStr"/>
      <c r="K14" s="10" t="inlineStr"/>
      <c r="L14" s="9" t="inlineStr"/>
    </row>
    <row r="15">
      <c r="A15" s="9" t="inlineStr"/>
      <c r="B15" s="9" t="inlineStr"/>
      <c r="C15" s="9" t="inlineStr"/>
      <c r="D15" s="10" t="inlineStr"/>
      <c r="E15" s="11" t="inlineStr"/>
      <c r="F15" s="9" t="inlineStr"/>
      <c r="G15" s="9" t="inlineStr"/>
      <c r="H15" s="9" t="inlineStr"/>
      <c r="I15" s="9" t="inlineStr"/>
      <c r="J15" s="9" t="inlineStr"/>
      <c r="K15" s="10" t="inlineStr"/>
      <c r="L15" s="9" t="inlineStr"/>
    </row>
    <row r="16">
      <c r="A16" s="9" t="inlineStr"/>
      <c r="B16" s="9" t="inlineStr"/>
      <c r="C16" s="9" t="inlineStr"/>
      <c r="D16" s="10" t="inlineStr"/>
      <c r="E16" s="11" t="inlineStr"/>
      <c r="F16" s="9" t="inlineStr"/>
      <c r="G16" s="9" t="inlineStr"/>
      <c r="H16" s="9" t="inlineStr"/>
      <c r="I16" s="9" t="inlineStr"/>
      <c r="J16" s="9" t="inlineStr"/>
      <c r="K16" s="10" t="inlineStr"/>
      <c r="L16" s="9" t="inlineStr"/>
    </row>
    <row r="17">
      <c r="A17" s="9" t="inlineStr"/>
      <c r="B17" s="9" t="inlineStr"/>
      <c r="C17" s="9" t="inlineStr"/>
      <c r="D17" s="10" t="inlineStr"/>
      <c r="E17" s="11" t="inlineStr"/>
      <c r="F17" s="9" t="inlineStr"/>
      <c r="G17" s="9" t="inlineStr"/>
      <c r="H17" s="9" t="inlineStr"/>
      <c r="I17" s="9" t="inlineStr"/>
      <c r="J17" s="9" t="inlineStr"/>
      <c r="K17" s="10" t="inlineStr"/>
      <c r="L17" s="9" t="inlineStr"/>
    </row>
    <row r="18">
      <c r="A18" s="9" t="inlineStr"/>
      <c r="B18" s="9" t="inlineStr"/>
      <c r="C18" s="9" t="inlineStr"/>
      <c r="D18" s="10" t="inlineStr"/>
      <c r="E18" s="11" t="inlineStr"/>
      <c r="F18" s="9" t="inlineStr"/>
      <c r="G18" s="9" t="inlineStr"/>
      <c r="H18" s="9" t="inlineStr"/>
      <c r="I18" s="9" t="inlineStr"/>
      <c r="J18" s="9" t="inlineStr"/>
      <c r="K18" s="10" t="inlineStr"/>
      <c r="L18" s="9" t="inlineStr"/>
    </row>
    <row r="19">
      <c r="A19" s="9" t="inlineStr"/>
      <c r="B19" s="9" t="inlineStr"/>
      <c r="C19" s="9" t="inlineStr"/>
      <c r="D19" s="10" t="inlineStr"/>
      <c r="E19" s="11" t="inlineStr"/>
      <c r="F19" s="9" t="inlineStr"/>
      <c r="G19" s="9" t="inlineStr"/>
      <c r="H19" s="9" t="inlineStr"/>
      <c r="I19" s="9" t="inlineStr"/>
      <c r="J19" s="9" t="inlineStr"/>
      <c r="K19" s="10" t="inlineStr"/>
      <c r="L19" s="9" t="inlineStr"/>
    </row>
    <row r="20">
      <c r="A20" s="9" t="inlineStr"/>
      <c r="B20" s="9" t="inlineStr"/>
      <c r="C20" s="9" t="inlineStr"/>
      <c r="D20" s="10" t="inlineStr"/>
      <c r="E20" s="11" t="inlineStr"/>
      <c r="F20" s="9" t="inlineStr"/>
      <c r="G20" s="9" t="inlineStr"/>
      <c r="H20" s="9" t="inlineStr"/>
      <c r="I20" s="9" t="inlineStr"/>
      <c r="J20" s="9" t="inlineStr"/>
      <c r="K20" s="10" t="inlineStr"/>
      <c r="L20" s="9" t="inlineStr"/>
    </row>
    <row r="21">
      <c r="A21" s="9" t="inlineStr"/>
      <c r="B21" s="9" t="inlineStr"/>
      <c r="C21" s="9" t="inlineStr"/>
      <c r="D21" s="10" t="inlineStr"/>
      <c r="E21" s="11" t="inlineStr"/>
      <c r="F21" s="9" t="inlineStr"/>
      <c r="G21" s="9" t="inlineStr"/>
      <c r="H21" s="9" t="inlineStr"/>
      <c r="I21" s="9" t="inlineStr"/>
      <c r="J21" s="9" t="inlineStr"/>
      <c r="K21" s="10" t="inlineStr"/>
      <c r="L21" s="9" t="inlineStr"/>
    </row>
    <row r="22">
      <c r="A22" s="9" t="inlineStr"/>
      <c r="B22" s="9" t="inlineStr"/>
      <c r="C22" s="9" t="inlineStr"/>
      <c r="D22" s="10" t="inlineStr"/>
      <c r="E22" s="11" t="inlineStr"/>
      <c r="F22" s="9" t="inlineStr"/>
      <c r="G22" s="9" t="inlineStr"/>
      <c r="H22" s="9" t="inlineStr"/>
      <c r="I22" s="9" t="inlineStr"/>
      <c r="J22" s="9" t="inlineStr"/>
      <c r="K22" s="10" t="inlineStr"/>
      <c r="L22" s="9" t="inlineStr"/>
    </row>
    <row r="23">
      <c r="A23" s="9" t="inlineStr"/>
      <c r="B23" s="9" t="inlineStr"/>
      <c r="C23" s="9" t="inlineStr"/>
      <c r="D23" s="10" t="inlineStr"/>
      <c r="E23" s="11" t="inlineStr"/>
      <c r="F23" s="9" t="inlineStr"/>
      <c r="G23" s="9" t="inlineStr"/>
      <c r="H23" s="9" t="inlineStr"/>
      <c r="I23" s="9" t="inlineStr"/>
      <c r="J23" s="9" t="inlineStr"/>
      <c r="K23" s="10" t="inlineStr"/>
      <c r="L23" s="9" t="inlineStr"/>
    </row>
    <row r="24">
      <c r="A24" s="9" t="inlineStr"/>
      <c r="B24" s="9" t="inlineStr"/>
      <c r="C24" s="9" t="inlineStr"/>
      <c r="D24" s="10" t="inlineStr"/>
      <c r="E24" s="11" t="inlineStr"/>
      <c r="F24" s="9" t="inlineStr"/>
      <c r="G24" s="9" t="inlineStr"/>
      <c r="H24" s="9" t="inlineStr"/>
      <c r="I24" s="9" t="inlineStr"/>
      <c r="J24" s="9" t="inlineStr"/>
      <c r="K24" s="10" t="inlineStr"/>
      <c r="L24" s="9" t="inlineStr"/>
    </row>
    <row r="25">
      <c r="A25" s="9" t="inlineStr"/>
      <c r="B25" s="9" t="inlineStr"/>
      <c r="C25" s="9" t="inlineStr"/>
      <c r="D25" s="10" t="inlineStr"/>
      <c r="E25" s="11" t="inlineStr"/>
      <c r="F25" s="9" t="inlineStr"/>
      <c r="G25" s="9" t="inlineStr"/>
      <c r="H25" s="9" t="inlineStr"/>
      <c r="I25" s="9" t="inlineStr"/>
      <c r="J25" s="9" t="inlineStr"/>
      <c r="K25" s="10" t="inlineStr"/>
      <c r="L25" s="9" t="inlineStr"/>
    </row>
    <row r="26">
      <c r="A26" s="9" t="inlineStr"/>
      <c r="B26" s="9" t="inlineStr"/>
      <c r="C26" s="9" t="inlineStr"/>
      <c r="D26" s="10" t="inlineStr"/>
      <c r="E26" s="11" t="inlineStr"/>
      <c r="F26" s="9" t="inlineStr"/>
      <c r="G26" s="9" t="inlineStr"/>
      <c r="H26" s="9" t="inlineStr"/>
      <c r="I26" s="9" t="inlineStr"/>
      <c r="J26" s="9" t="inlineStr"/>
      <c r="K26" s="10" t="inlineStr"/>
      <c r="L26" s="9" t="inlineStr"/>
    </row>
    <row r="27">
      <c r="A27" s="9" t="inlineStr"/>
      <c r="B27" s="9" t="inlineStr"/>
      <c r="C27" s="9" t="inlineStr"/>
      <c r="D27" s="10" t="inlineStr"/>
      <c r="E27" s="11" t="inlineStr"/>
      <c r="F27" s="9" t="inlineStr"/>
      <c r="G27" s="9" t="inlineStr"/>
      <c r="H27" s="9" t="inlineStr"/>
      <c r="I27" s="9" t="inlineStr"/>
      <c r="J27" s="9" t="inlineStr"/>
      <c r="K27" s="10" t="inlineStr"/>
      <c r="L27" s="9" t="inlineStr"/>
    </row>
    <row r="28">
      <c r="A28" s="9" t="inlineStr"/>
      <c r="B28" s="9" t="inlineStr"/>
      <c r="C28" s="9" t="inlineStr"/>
      <c r="D28" s="10" t="inlineStr"/>
      <c r="E28" s="11" t="inlineStr"/>
      <c r="F28" s="9" t="inlineStr"/>
      <c r="G28" s="9" t="inlineStr"/>
      <c r="H28" s="9" t="inlineStr"/>
      <c r="I28" s="9" t="inlineStr"/>
      <c r="J28" s="9" t="inlineStr"/>
      <c r="K28" s="10" t="inlineStr"/>
      <c r="L28" s="9" t="inlineStr"/>
    </row>
    <row r="29">
      <c r="A29" s="9" t="inlineStr"/>
      <c r="B29" s="9" t="inlineStr"/>
      <c r="C29" s="9" t="inlineStr"/>
      <c r="D29" s="10" t="inlineStr"/>
      <c r="E29" s="11" t="inlineStr"/>
      <c r="F29" s="9" t="inlineStr"/>
      <c r="G29" s="9" t="inlineStr"/>
      <c r="H29" s="9" t="inlineStr"/>
      <c r="I29" s="9" t="inlineStr"/>
      <c r="J29" s="9" t="inlineStr"/>
      <c r="K29" s="10" t="inlineStr"/>
      <c r="L29" s="9" t="inlineStr"/>
    </row>
    <row r="30">
      <c r="A30" s="9" t="inlineStr"/>
      <c r="B30" s="9" t="inlineStr"/>
      <c r="C30" s="9" t="inlineStr"/>
      <c r="D30" s="10" t="inlineStr"/>
      <c r="E30" s="11" t="inlineStr"/>
      <c r="F30" s="9" t="inlineStr"/>
      <c r="G30" s="9" t="inlineStr"/>
      <c r="H30" s="9" t="inlineStr"/>
      <c r="I30" s="9" t="inlineStr"/>
      <c r="J30" s="9" t="inlineStr"/>
      <c r="K30" s="10" t="inlineStr"/>
      <c r="L30" s="9" t="inlineStr"/>
    </row>
    <row r="31">
      <c r="A31" s="9" t="inlineStr"/>
      <c r="B31" s="9" t="inlineStr"/>
      <c r="C31" s="9" t="inlineStr"/>
      <c r="D31" s="10" t="inlineStr"/>
      <c r="E31" s="11" t="inlineStr"/>
      <c r="F31" s="9" t="inlineStr"/>
      <c r="G31" s="9" t="inlineStr"/>
      <c r="H31" s="9" t="inlineStr"/>
      <c r="I31" s="9" t="inlineStr"/>
      <c r="J31" s="9" t="inlineStr"/>
      <c r="K31" s="10" t="inlineStr"/>
      <c r="L31" s="9" t="inlineStr"/>
    </row>
    <row r="32">
      <c r="A32" s="9" t="inlineStr"/>
      <c r="B32" s="9" t="inlineStr"/>
      <c r="C32" s="9" t="inlineStr"/>
      <c r="D32" s="10" t="inlineStr"/>
      <c r="E32" s="11" t="inlineStr"/>
      <c r="F32" s="9" t="inlineStr"/>
      <c r="G32" s="9" t="inlineStr"/>
      <c r="H32" s="9" t="inlineStr"/>
      <c r="I32" s="9" t="inlineStr"/>
      <c r="J32" s="9" t="inlineStr"/>
      <c r="K32" s="10" t="inlineStr"/>
      <c r="L32" s="9" t="inlineStr"/>
    </row>
    <row r="33">
      <c r="A33" s="9" t="inlineStr"/>
      <c r="B33" s="9" t="inlineStr"/>
      <c r="C33" s="9" t="inlineStr"/>
      <c r="D33" s="10" t="inlineStr"/>
      <c r="E33" s="11" t="inlineStr"/>
      <c r="F33" s="9" t="inlineStr"/>
      <c r="G33" s="9" t="inlineStr"/>
      <c r="H33" s="9" t="inlineStr"/>
      <c r="I33" s="9" t="inlineStr"/>
      <c r="J33" s="9" t="inlineStr"/>
      <c r="K33" s="10" t="inlineStr"/>
      <c r="L33" s="9" t="inlineStr"/>
    </row>
    <row r="34">
      <c r="A34" s="9" t="inlineStr"/>
      <c r="B34" s="9" t="inlineStr"/>
      <c r="C34" s="9" t="inlineStr"/>
      <c r="D34" s="10" t="inlineStr"/>
      <c r="E34" s="11" t="inlineStr"/>
      <c r="F34" s="9" t="inlineStr"/>
      <c r="G34" s="9" t="inlineStr"/>
      <c r="H34" s="9" t="inlineStr"/>
      <c r="I34" s="9" t="inlineStr"/>
      <c r="J34" s="9" t="inlineStr"/>
      <c r="K34" s="10" t="inlineStr"/>
      <c r="L34" s="9" t="inlineStr"/>
    </row>
    <row r="35">
      <c r="A35" s="9" t="inlineStr"/>
      <c r="B35" s="9" t="inlineStr"/>
      <c r="C35" s="9" t="inlineStr"/>
      <c r="D35" s="10" t="inlineStr"/>
      <c r="E35" s="11" t="inlineStr"/>
      <c r="F35" s="9" t="inlineStr"/>
      <c r="G35" s="9" t="inlineStr"/>
      <c r="H35" s="9" t="inlineStr"/>
      <c r="I35" s="9" t="inlineStr"/>
      <c r="J35" s="9" t="inlineStr"/>
      <c r="K35" s="10" t="inlineStr"/>
      <c r="L35" s="9" t="inlineStr"/>
    </row>
    <row r="36">
      <c r="A36" s="9" t="inlineStr"/>
      <c r="B36" s="9" t="inlineStr"/>
      <c r="C36" s="9" t="inlineStr"/>
      <c r="D36" s="10" t="inlineStr"/>
      <c r="E36" s="11" t="inlineStr"/>
      <c r="F36" s="9" t="inlineStr"/>
      <c r="G36" s="9" t="inlineStr"/>
      <c r="H36" s="9" t="inlineStr"/>
      <c r="I36" s="9" t="inlineStr"/>
      <c r="J36" s="9" t="inlineStr"/>
      <c r="K36" s="10" t="inlineStr"/>
      <c r="L36" s="9" t="inlineStr"/>
    </row>
    <row r="37">
      <c r="A37" s="9" t="inlineStr"/>
      <c r="B37" s="9" t="inlineStr"/>
      <c r="C37" s="9" t="inlineStr"/>
      <c r="D37" s="10" t="inlineStr"/>
      <c r="E37" s="11" t="inlineStr"/>
      <c r="F37" s="9" t="inlineStr"/>
      <c r="G37" s="9" t="inlineStr"/>
      <c r="H37" s="9" t="inlineStr"/>
      <c r="I37" s="9" t="inlineStr"/>
      <c r="J37" s="9" t="inlineStr"/>
      <c r="K37" s="10" t="inlineStr"/>
      <c r="L37" s="9" t="inlineStr"/>
    </row>
    <row r="38">
      <c r="A38" s="9" t="inlineStr"/>
      <c r="B38" s="9" t="inlineStr"/>
      <c r="C38" s="9" t="inlineStr"/>
      <c r="D38" s="10" t="inlineStr"/>
      <c r="E38" s="11" t="inlineStr"/>
      <c r="F38" s="9" t="inlineStr"/>
      <c r="G38" s="9" t="inlineStr"/>
      <c r="H38" s="9" t="inlineStr"/>
      <c r="I38" s="9" t="inlineStr"/>
      <c r="J38" s="9" t="inlineStr"/>
      <c r="K38" s="10" t="inlineStr"/>
      <c r="L38" s="9" t="inlineStr"/>
    </row>
    <row r="39">
      <c r="A39" s="9" t="inlineStr"/>
      <c r="B39" s="9" t="inlineStr"/>
      <c r="C39" s="9" t="inlineStr"/>
      <c r="D39" s="10" t="inlineStr"/>
      <c r="E39" s="11" t="inlineStr"/>
      <c r="F39" s="9" t="inlineStr"/>
      <c r="G39" s="9" t="inlineStr"/>
      <c r="H39" s="9" t="inlineStr"/>
      <c r="I39" s="9" t="inlineStr"/>
      <c r="J39" s="9" t="inlineStr"/>
      <c r="K39" s="10" t="inlineStr"/>
      <c r="L39" s="9" t="inlineStr"/>
    </row>
    <row r="40">
      <c r="A40" s="9" t="inlineStr"/>
      <c r="B40" s="9" t="inlineStr"/>
      <c r="C40" s="9" t="inlineStr"/>
      <c r="D40" s="10" t="inlineStr"/>
      <c r="E40" s="11" t="inlineStr"/>
      <c r="F40" s="9" t="inlineStr"/>
      <c r="G40" s="9" t="inlineStr"/>
      <c r="H40" s="9" t="inlineStr"/>
      <c r="I40" s="9" t="inlineStr"/>
      <c r="J40" s="9" t="inlineStr"/>
      <c r="K40" s="10" t="inlineStr"/>
      <c r="L40" s="9" t="inlineStr"/>
    </row>
    <row r="41">
      <c r="A41" s="9" t="inlineStr"/>
      <c r="B41" s="9" t="inlineStr"/>
      <c r="C41" s="9" t="inlineStr"/>
      <c r="D41" s="10" t="inlineStr"/>
      <c r="E41" s="11" t="inlineStr"/>
      <c r="F41" s="9" t="inlineStr"/>
      <c r="G41" s="9" t="inlineStr"/>
      <c r="H41" s="9" t="inlineStr"/>
      <c r="I41" s="9" t="inlineStr"/>
      <c r="J41" s="9" t="inlineStr"/>
      <c r="K41" s="10" t="inlineStr"/>
      <c r="L41" s="9" t="inlineStr"/>
    </row>
    <row r="42">
      <c r="A42" s="9" t="inlineStr"/>
      <c r="B42" s="9" t="inlineStr"/>
      <c r="C42" s="9" t="inlineStr"/>
      <c r="D42" s="10" t="inlineStr"/>
      <c r="E42" s="11" t="inlineStr"/>
      <c r="F42" s="9" t="inlineStr"/>
      <c r="G42" s="9" t="inlineStr"/>
      <c r="H42" s="9" t="inlineStr"/>
      <c r="I42" s="9" t="inlineStr"/>
      <c r="J42" s="9" t="inlineStr"/>
      <c r="K42" s="10" t="inlineStr"/>
      <c r="L42" s="9" t="inlineStr"/>
    </row>
    <row r="43">
      <c r="A43" s="9" t="inlineStr"/>
      <c r="B43" s="9" t="inlineStr"/>
      <c r="C43" s="9" t="inlineStr"/>
      <c r="D43" s="10" t="inlineStr"/>
      <c r="E43" s="11" t="inlineStr"/>
      <c r="F43" s="9" t="inlineStr"/>
      <c r="G43" s="9" t="inlineStr"/>
      <c r="H43" s="9" t="inlineStr"/>
      <c r="I43" s="9" t="inlineStr"/>
      <c r="J43" s="9" t="inlineStr"/>
      <c r="K43" s="10" t="inlineStr"/>
      <c r="L43" s="9" t="inlineStr"/>
    </row>
    <row r="44">
      <c r="A44" s="9" t="inlineStr"/>
      <c r="B44" s="9" t="inlineStr"/>
      <c r="C44" s="9" t="inlineStr"/>
      <c r="D44" s="10" t="inlineStr"/>
      <c r="E44" s="11" t="inlineStr"/>
      <c r="F44" s="9" t="inlineStr"/>
      <c r="G44" s="9" t="inlineStr"/>
      <c r="H44" s="9" t="inlineStr"/>
      <c r="I44" s="9" t="inlineStr"/>
      <c r="J44" s="9" t="inlineStr"/>
      <c r="K44" s="10" t="inlineStr"/>
      <c r="L44" s="9" t="inlineStr"/>
    </row>
    <row r="45">
      <c r="A45" s="9" t="inlineStr"/>
      <c r="B45" s="9" t="inlineStr"/>
      <c r="C45" s="9" t="inlineStr"/>
      <c r="D45" s="10" t="inlineStr"/>
      <c r="E45" s="11" t="inlineStr"/>
      <c r="F45" s="9" t="inlineStr"/>
      <c r="G45" s="9" t="inlineStr"/>
      <c r="H45" s="9" t="inlineStr"/>
      <c r="I45" s="9" t="inlineStr"/>
      <c r="J45" s="9" t="inlineStr"/>
      <c r="K45" s="10" t="inlineStr"/>
      <c r="L45" s="9" t="inlineStr"/>
    </row>
    <row r="46">
      <c r="A46" s="9" t="inlineStr"/>
      <c r="B46" s="9" t="inlineStr"/>
      <c r="C46" s="9" t="inlineStr"/>
      <c r="D46" s="10" t="inlineStr"/>
      <c r="E46" s="11" t="inlineStr"/>
      <c r="F46" s="9" t="inlineStr"/>
      <c r="G46" s="9" t="inlineStr"/>
      <c r="H46" s="9" t="inlineStr"/>
      <c r="I46" s="9" t="inlineStr"/>
      <c r="J46" s="9" t="inlineStr"/>
      <c r="K46" s="10" t="inlineStr"/>
      <c r="L46" s="9" t="inlineStr"/>
    </row>
    <row r="47">
      <c r="A47" s="9" t="inlineStr"/>
      <c r="B47" s="9" t="inlineStr"/>
      <c r="C47" s="9" t="inlineStr"/>
      <c r="D47" s="10" t="inlineStr"/>
      <c r="E47" s="11" t="inlineStr"/>
      <c r="F47" s="9" t="inlineStr"/>
      <c r="G47" s="9" t="inlineStr"/>
      <c r="H47" s="9" t="inlineStr"/>
      <c r="I47" s="9" t="inlineStr"/>
      <c r="J47" s="9" t="inlineStr"/>
      <c r="K47" s="10" t="inlineStr"/>
      <c r="L47" s="9" t="inlineStr"/>
    </row>
    <row r="48">
      <c r="A48" s="9" t="inlineStr"/>
      <c r="B48" s="9" t="inlineStr"/>
      <c r="C48" s="9" t="inlineStr"/>
      <c r="D48" s="10" t="inlineStr"/>
      <c r="E48" s="11" t="inlineStr"/>
      <c r="F48" s="9" t="inlineStr"/>
      <c r="G48" s="9" t="inlineStr"/>
      <c r="H48" s="9" t="inlineStr"/>
      <c r="I48" s="9" t="inlineStr"/>
      <c r="J48" s="9" t="inlineStr"/>
      <c r="K48" s="10" t="inlineStr"/>
      <c r="L48" s="9" t="inlineStr"/>
    </row>
    <row r="49">
      <c r="A49" s="9" t="inlineStr"/>
      <c r="B49" s="9" t="inlineStr"/>
      <c r="C49" s="9" t="inlineStr"/>
      <c r="D49" s="10" t="inlineStr"/>
      <c r="E49" s="11" t="inlineStr"/>
      <c r="F49" s="9" t="inlineStr"/>
      <c r="G49" s="9" t="inlineStr"/>
      <c r="H49" s="9" t="inlineStr"/>
      <c r="I49" s="9" t="inlineStr"/>
      <c r="J49" s="9" t="inlineStr"/>
      <c r="K49" s="10" t="inlineStr"/>
      <c r="L49" s="9" t="inlineStr"/>
    </row>
    <row r="50">
      <c r="A50" s="9" t="inlineStr"/>
      <c r="B50" s="9" t="inlineStr"/>
      <c r="C50" s="9" t="inlineStr"/>
      <c r="D50" s="10" t="inlineStr"/>
      <c r="E50" s="11" t="inlineStr"/>
      <c r="F50" s="9" t="inlineStr"/>
      <c r="G50" s="9" t="inlineStr"/>
      <c r="H50" s="9" t="inlineStr"/>
      <c r="I50" s="9" t="inlineStr"/>
      <c r="J50" s="9" t="inlineStr"/>
      <c r="K50" s="10" t="inlineStr"/>
      <c r="L50" s="9" t="inlineStr"/>
    </row>
    <row r="51">
      <c r="A51" s="9" t="inlineStr"/>
      <c r="B51" s="9" t="inlineStr"/>
      <c r="C51" s="9" t="inlineStr"/>
      <c r="D51" s="10" t="inlineStr"/>
      <c r="E51" s="11" t="inlineStr"/>
      <c r="F51" s="9" t="inlineStr"/>
      <c r="G51" s="9" t="inlineStr"/>
      <c r="H51" s="9" t="inlineStr"/>
      <c r="I51" s="9" t="inlineStr"/>
      <c r="J51" s="9" t="inlineStr"/>
      <c r="K51" s="10" t="inlineStr"/>
      <c r="L51" s="9" t="inlineStr"/>
    </row>
    <row r="52">
      <c r="A52" s="9" t="inlineStr"/>
      <c r="B52" s="9" t="inlineStr"/>
      <c r="C52" s="9" t="inlineStr"/>
      <c r="D52" s="10" t="inlineStr"/>
      <c r="E52" s="11" t="inlineStr"/>
      <c r="F52" s="9" t="inlineStr"/>
      <c r="G52" s="9" t="inlineStr"/>
      <c r="H52" s="9" t="inlineStr"/>
      <c r="I52" s="9" t="inlineStr"/>
      <c r="J52" s="9" t="inlineStr"/>
      <c r="K52" s="10" t="inlineStr"/>
      <c r="L52" s="9" t="inlineStr"/>
    </row>
    <row r="53">
      <c r="A53" s="9" t="inlineStr"/>
      <c r="B53" s="9" t="inlineStr"/>
      <c r="C53" s="9" t="inlineStr"/>
      <c r="D53" s="10" t="inlineStr"/>
      <c r="E53" s="11" t="inlineStr"/>
      <c r="F53" s="9" t="inlineStr"/>
      <c r="G53" s="9" t="inlineStr"/>
      <c r="H53" s="9" t="inlineStr"/>
      <c r="I53" s="9" t="inlineStr"/>
      <c r="J53" s="9" t="inlineStr"/>
      <c r="K53" s="10" t="inlineStr"/>
      <c r="L53" s="9" t="inlineStr"/>
    </row>
    <row r="54">
      <c r="A54" s="9" t="inlineStr"/>
      <c r="B54" s="9" t="inlineStr"/>
      <c r="C54" s="9" t="inlineStr"/>
      <c r="D54" s="10" t="inlineStr"/>
      <c r="E54" s="11" t="inlineStr"/>
      <c r="F54" s="9" t="inlineStr"/>
      <c r="G54" s="9" t="inlineStr"/>
      <c r="H54" s="9" t="inlineStr"/>
      <c r="I54" s="9" t="inlineStr"/>
      <c r="J54" s="9" t="inlineStr"/>
      <c r="K54" s="10" t="inlineStr"/>
      <c r="L54" s="9" t="inlineStr"/>
    </row>
    <row r="55">
      <c r="A55" s="9" t="inlineStr"/>
      <c r="B55" s="9" t="inlineStr"/>
      <c r="C55" s="9" t="inlineStr"/>
      <c r="D55" s="10" t="inlineStr"/>
      <c r="E55" s="11" t="inlineStr"/>
      <c r="F55" s="9" t="inlineStr"/>
      <c r="G55" s="9" t="inlineStr"/>
      <c r="H55" s="9" t="inlineStr"/>
      <c r="I55" s="9" t="inlineStr"/>
      <c r="J55" s="9" t="inlineStr"/>
      <c r="K55" s="10" t="inlineStr"/>
      <c r="L55" s="9" t="inlineStr"/>
    </row>
    <row r="56">
      <c r="A56" s="9" t="inlineStr"/>
      <c r="B56" s="9" t="inlineStr"/>
      <c r="C56" s="9" t="inlineStr"/>
      <c r="D56" s="10" t="inlineStr"/>
      <c r="E56" s="11" t="inlineStr"/>
      <c r="F56" s="9" t="inlineStr"/>
      <c r="G56" s="9" t="inlineStr"/>
      <c r="H56" s="9" t="inlineStr"/>
      <c r="I56" s="9" t="inlineStr"/>
      <c r="J56" s="9" t="inlineStr"/>
      <c r="K56" s="10" t="inlineStr"/>
      <c r="L56" s="9" t="inlineStr"/>
    </row>
    <row r="57">
      <c r="A57" s="9" t="inlineStr"/>
      <c r="B57" s="9" t="inlineStr"/>
      <c r="C57" s="9" t="inlineStr"/>
      <c r="D57" s="10" t="inlineStr"/>
      <c r="E57" s="11" t="inlineStr"/>
      <c r="F57" s="9" t="inlineStr"/>
      <c r="G57" s="9" t="inlineStr"/>
      <c r="H57" s="9" t="inlineStr"/>
      <c r="I57" s="9" t="inlineStr"/>
      <c r="J57" s="9" t="inlineStr"/>
      <c r="K57" s="10" t="inlineStr"/>
      <c r="L57" s="9" t="inlineStr"/>
    </row>
    <row r="58">
      <c r="A58" s="9" t="inlineStr"/>
      <c r="B58" s="9" t="inlineStr"/>
      <c r="C58" s="9" t="inlineStr"/>
      <c r="D58" s="10" t="inlineStr"/>
      <c r="E58" s="11" t="inlineStr"/>
      <c r="F58" s="9" t="inlineStr"/>
      <c r="G58" s="9" t="inlineStr"/>
      <c r="H58" s="9" t="inlineStr"/>
      <c r="I58" s="9" t="inlineStr"/>
      <c r="J58" s="9" t="inlineStr"/>
      <c r="K58" s="10" t="inlineStr"/>
      <c r="L58" s="9" t="inlineStr"/>
    </row>
    <row r="59">
      <c r="A59" s="9" t="inlineStr"/>
      <c r="B59" s="9" t="inlineStr"/>
      <c r="C59" s="9" t="inlineStr"/>
      <c r="D59" s="10" t="inlineStr"/>
      <c r="E59" s="11" t="inlineStr"/>
      <c r="F59" s="9" t="inlineStr"/>
      <c r="G59" s="9" t="inlineStr"/>
      <c r="H59" s="9" t="inlineStr"/>
      <c r="I59" s="9" t="inlineStr"/>
      <c r="J59" s="9" t="inlineStr"/>
      <c r="K59" s="10" t="inlineStr"/>
      <c r="L59" s="9" t="inlineStr"/>
    </row>
    <row r="60">
      <c r="A60" s="9" t="inlineStr"/>
      <c r="B60" s="9" t="inlineStr"/>
      <c r="C60" s="9" t="inlineStr"/>
      <c r="D60" s="10" t="inlineStr"/>
      <c r="E60" s="11" t="inlineStr"/>
      <c r="F60" s="9" t="inlineStr"/>
      <c r="G60" s="9" t="inlineStr"/>
      <c r="H60" s="9" t="inlineStr"/>
      <c r="I60" s="9" t="inlineStr"/>
      <c r="J60" s="9" t="inlineStr"/>
      <c r="K60" s="10" t="inlineStr"/>
      <c r="L60" s="9" t="inlineStr"/>
    </row>
    <row r="61">
      <c r="A61" s="9" t="inlineStr"/>
      <c r="B61" s="9" t="inlineStr"/>
      <c r="C61" s="9" t="inlineStr"/>
      <c r="D61" s="10" t="inlineStr"/>
      <c r="E61" s="11" t="inlineStr"/>
      <c r="F61" s="9" t="inlineStr"/>
      <c r="G61" s="9" t="inlineStr"/>
      <c r="H61" s="9" t="inlineStr"/>
      <c r="I61" s="9" t="inlineStr"/>
      <c r="J61" s="9" t="inlineStr"/>
      <c r="K61" s="10" t="inlineStr"/>
      <c r="L61" s="9" t="inlineStr"/>
    </row>
    <row r="62">
      <c r="A62" s="9" t="inlineStr"/>
      <c r="B62" s="9" t="inlineStr"/>
      <c r="C62" s="9" t="inlineStr"/>
      <c r="D62" s="10" t="inlineStr"/>
      <c r="E62" s="11" t="inlineStr"/>
      <c r="F62" s="9" t="inlineStr"/>
      <c r="G62" s="9" t="inlineStr"/>
      <c r="H62" s="9" t="inlineStr"/>
      <c r="I62" s="9" t="inlineStr"/>
      <c r="J62" s="9" t="inlineStr"/>
      <c r="K62" s="10" t="inlineStr"/>
      <c r="L62" s="9" t="inlineStr"/>
    </row>
    <row r="63">
      <c r="A63" s="9" t="inlineStr"/>
      <c r="B63" s="9" t="inlineStr"/>
      <c r="C63" s="9" t="inlineStr"/>
      <c r="D63" s="10" t="inlineStr"/>
      <c r="E63" s="11" t="inlineStr"/>
      <c r="F63" s="9" t="inlineStr"/>
      <c r="G63" s="9" t="inlineStr"/>
      <c r="H63" s="9" t="inlineStr"/>
      <c r="I63" s="9" t="inlineStr"/>
      <c r="J63" s="9" t="inlineStr"/>
      <c r="K63" s="10" t="inlineStr"/>
      <c r="L63" s="9" t="inlineStr"/>
    </row>
    <row r="64">
      <c r="A64" s="9" t="inlineStr"/>
      <c r="B64" s="9" t="inlineStr"/>
      <c r="C64" s="9" t="inlineStr"/>
      <c r="D64" s="10" t="inlineStr"/>
      <c r="E64" s="11" t="inlineStr"/>
      <c r="F64" s="9" t="inlineStr"/>
      <c r="G64" s="9" t="inlineStr"/>
      <c r="H64" s="9" t="inlineStr"/>
      <c r="I64" s="9" t="inlineStr"/>
      <c r="J64" s="9" t="inlineStr"/>
      <c r="K64" s="10" t="inlineStr"/>
      <c r="L64" s="9" t="inlineStr"/>
    </row>
    <row r="65">
      <c r="A65" s="9" t="inlineStr"/>
      <c r="B65" s="9" t="inlineStr"/>
      <c r="C65" s="9" t="inlineStr"/>
      <c r="D65" s="10" t="inlineStr"/>
      <c r="E65" s="11" t="inlineStr"/>
      <c r="F65" s="9" t="inlineStr"/>
      <c r="G65" s="9" t="inlineStr"/>
      <c r="H65" s="9" t="inlineStr"/>
      <c r="I65" s="9" t="inlineStr"/>
      <c r="J65" s="9" t="inlineStr"/>
      <c r="K65" s="10" t="inlineStr"/>
      <c r="L65" s="9" t="inlineStr"/>
    </row>
    <row r="66">
      <c r="A66" s="9" t="inlineStr"/>
      <c r="B66" s="9" t="inlineStr"/>
      <c r="C66" s="9" t="inlineStr"/>
      <c r="D66" s="10" t="inlineStr"/>
      <c r="E66" s="11" t="inlineStr"/>
      <c r="F66" s="9" t="inlineStr"/>
      <c r="G66" s="9" t="inlineStr"/>
      <c r="H66" s="9" t="inlineStr"/>
      <c r="I66" s="9" t="inlineStr"/>
      <c r="J66" s="9" t="inlineStr"/>
      <c r="K66" s="10" t="inlineStr"/>
      <c r="L66" s="9" t="inlineStr"/>
    </row>
    <row r="67">
      <c r="A67" s="9" t="inlineStr"/>
      <c r="B67" s="9" t="inlineStr"/>
      <c r="C67" s="9" t="inlineStr"/>
      <c r="D67" s="10" t="inlineStr"/>
      <c r="E67" s="11" t="inlineStr"/>
      <c r="F67" s="9" t="inlineStr"/>
      <c r="G67" s="9" t="inlineStr"/>
      <c r="H67" s="9" t="inlineStr"/>
      <c r="I67" s="9" t="inlineStr"/>
      <c r="J67" s="9" t="inlineStr"/>
      <c r="K67" s="10" t="inlineStr"/>
      <c r="L67" s="9" t="inlineStr"/>
    </row>
    <row r="68">
      <c r="A68" s="9" t="inlineStr"/>
      <c r="B68" s="9" t="inlineStr"/>
      <c r="C68" s="9" t="inlineStr"/>
      <c r="D68" s="10" t="inlineStr"/>
      <c r="E68" s="11" t="inlineStr"/>
      <c r="F68" s="9" t="inlineStr"/>
      <c r="G68" s="9" t="inlineStr"/>
      <c r="H68" s="9" t="inlineStr"/>
      <c r="I68" s="9" t="inlineStr"/>
      <c r="J68" s="9" t="inlineStr"/>
      <c r="K68" s="10" t="inlineStr"/>
      <c r="L68" s="9" t="inlineStr"/>
    </row>
    <row r="69">
      <c r="A69" s="9" t="inlineStr"/>
      <c r="B69" s="9" t="inlineStr"/>
      <c r="C69" s="9" t="inlineStr"/>
      <c r="D69" s="10" t="inlineStr"/>
      <c r="E69" s="11" t="inlineStr"/>
      <c r="F69" s="9" t="inlineStr"/>
      <c r="G69" s="9" t="inlineStr"/>
      <c r="H69" s="9" t="inlineStr"/>
      <c r="I69" s="9" t="inlineStr"/>
      <c r="J69" s="9" t="inlineStr"/>
      <c r="K69" s="10" t="inlineStr"/>
      <c r="L69" s="9" t="inlineStr"/>
    </row>
    <row r="70">
      <c r="A70" s="9" t="inlineStr"/>
      <c r="B70" s="9" t="inlineStr"/>
      <c r="C70" s="9" t="inlineStr"/>
      <c r="D70" s="10" t="inlineStr"/>
      <c r="E70" s="11" t="inlineStr"/>
      <c r="F70" s="9" t="inlineStr"/>
      <c r="G70" s="9" t="inlineStr"/>
      <c r="H70" s="9" t="inlineStr"/>
      <c r="I70" s="9" t="inlineStr"/>
      <c r="J70" s="9" t="inlineStr"/>
      <c r="K70" s="10" t="inlineStr"/>
      <c r="L70" s="9" t="inlineStr"/>
    </row>
    <row r="71">
      <c r="A71" s="9" t="inlineStr"/>
      <c r="B71" s="9" t="inlineStr"/>
      <c r="C71" s="9" t="inlineStr"/>
      <c r="D71" s="10" t="inlineStr"/>
      <c r="E71" s="11" t="inlineStr"/>
      <c r="F71" s="9" t="inlineStr"/>
      <c r="G71" s="9" t="inlineStr"/>
      <c r="H71" s="9" t="inlineStr"/>
      <c r="I71" s="9" t="inlineStr"/>
      <c r="J71" s="9" t="inlineStr"/>
      <c r="K71" s="10" t="inlineStr"/>
      <c r="L71" s="9" t="inlineStr"/>
    </row>
    <row r="72">
      <c r="A72" s="9" t="inlineStr"/>
      <c r="B72" s="9" t="inlineStr"/>
      <c r="C72" s="9" t="inlineStr"/>
      <c r="D72" s="10" t="inlineStr"/>
      <c r="E72" s="11" t="inlineStr"/>
      <c r="F72" s="9" t="inlineStr"/>
      <c r="G72" s="9" t="inlineStr"/>
      <c r="H72" s="9" t="inlineStr"/>
      <c r="I72" s="9" t="inlineStr"/>
      <c r="J72" s="9" t="inlineStr"/>
      <c r="K72" s="10" t="inlineStr"/>
      <c r="L72" s="9" t="inlineStr"/>
    </row>
    <row r="73">
      <c r="A73" s="9" t="inlineStr"/>
      <c r="B73" s="9" t="inlineStr"/>
      <c r="C73" s="9" t="inlineStr"/>
      <c r="D73" s="10" t="inlineStr"/>
      <c r="E73" s="11" t="inlineStr"/>
      <c r="F73" s="9" t="inlineStr"/>
      <c r="G73" s="9" t="inlineStr"/>
      <c r="H73" s="9" t="inlineStr"/>
      <c r="I73" s="9" t="inlineStr"/>
      <c r="J73" s="9" t="inlineStr"/>
      <c r="K73" s="10" t="inlineStr"/>
      <c r="L73" s="9" t="inlineStr"/>
    </row>
    <row r="74">
      <c r="A74" s="9" t="inlineStr"/>
      <c r="B74" s="9" t="inlineStr"/>
      <c r="C74" s="9" t="inlineStr"/>
      <c r="D74" s="10" t="inlineStr"/>
      <c r="E74" s="11" t="inlineStr"/>
      <c r="F74" s="9" t="inlineStr"/>
      <c r="G74" s="9" t="inlineStr"/>
      <c r="H74" s="9" t="inlineStr"/>
      <c r="I74" s="9" t="inlineStr"/>
      <c r="J74" s="9" t="inlineStr"/>
      <c r="K74" s="10" t="inlineStr"/>
      <c r="L74" s="9" t="inlineStr"/>
    </row>
    <row r="75">
      <c r="A75" s="9" t="inlineStr"/>
      <c r="B75" s="9" t="inlineStr"/>
      <c r="C75" s="9" t="inlineStr"/>
      <c r="D75" s="10" t="inlineStr"/>
      <c r="E75" s="11" t="inlineStr"/>
      <c r="F75" s="9" t="inlineStr"/>
      <c r="G75" s="9" t="inlineStr"/>
      <c r="H75" s="9" t="inlineStr"/>
      <c r="I75" s="9" t="inlineStr"/>
      <c r="J75" s="9" t="inlineStr"/>
      <c r="K75" s="10" t="inlineStr"/>
      <c r="L75" s="9" t="inlineStr"/>
    </row>
    <row r="76">
      <c r="A76" s="9" t="inlineStr"/>
      <c r="B76" s="9" t="inlineStr"/>
      <c r="C76" s="9" t="inlineStr"/>
      <c r="D76" s="10" t="inlineStr"/>
      <c r="E76" s="11" t="inlineStr"/>
      <c r="F76" s="9" t="inlineStr"/>
      <c r="G76" s="9" t="inlineStr"/>
      <c r="H76" s="9" t="inlineStr"/>
      <c r="I76" s="9" t="inlineStr"/>
      <c r="J76" s="9" t="inlineStr"/>
      <c r="K76" s="10" t="inlineStr"/>
      <c r="L76" s="9" t="inlineStr"/>
    </row>
    <row r="77">
      <c r="A77" s="9" t="inlineStr"/>
      <c r="B77" s="9" t="inlineStr"/>
      <c r="C77" s="9" t="inlineStr"/>
      <c r="D77" s="10" t="inlineStr"/>
      <c r="E77" s="11" t="inlineStr"/>
      <c r="F77" s="9" t="inlineStr"/>
      <c r="G77" s="9" t="inlineStr"/>
      <c r="H77" s="9" t="inlineStr"/>
      <c r="I77" s="9" t="inlineStr"/>
      <c r="J77" s="9" t="inlineStr"/>
      <c r="K77" s="10" t="inlineStr"/>
      <c r="L77" s="9" t="inlineStr"/>
    </row>
    <row r="78">
      <c r="A78" s="9" t="inlineStr"/>
      <c r="B78" s="9" t="inlineStr"/>
      <c r="C78" s="9" t="inlineStr"/>
      <c r="D78" s="10" t="inlineStr"/>
      <c r="E78" s="11" t="inlineStr"/>
      <c r="F78" s="9" t="inlineStr"/>
      <c r="G78" s="9" t="inlineStr"/>
      <c r="H78" s="9" t="inlineStr"/>
      <c r="I78" s="9" t="inlineStr"/>
      <c r="J78" s="9" t="inlineStr"/>
      <c r="K78" s="10" t="inlineStr"/>
      <c r="L78" s="9" t="inlineStr"/>
    </row>
    <row r="79">
      <c r="A79" s="9" t="inlineStr"/>
      <c r="B79" s="9" t="inlineStr"/>
      <c r="C79" s="9" t="inlineStr"/>
      <c r="D79" s="10" t="inlineStr"/>
      <c r="E79" s="11" t="inlineStr"/>
      <c r="F79" s="9" t="inlineStr"/>
      <c r="G79" s="9" t="inlineStr"/>
      <c r="H79" s="9" t="inlineStr"/>
      <c r="I79" s="9" t="inlineStr"/>
      <c r="J79" s="9" t="inlineStr"/>
      <c r="K79" s="10" t="inlineStr"/>
      <c r="L79" s="9" t="inlineStr"/>
    </row>
    <row r="80">
      <c r="A80" s="9" t="inlineStr"/>
      <c r="B80" s="9" t="inlineStr"/>
      <c r="C80" s="9" t="inlineStr"/>
      <c r="D80" s="10" t="inlineStr"/>
      <c r="E80" s="11" t="inlineStr"/>
      <c r="F80" s="9" t="inlineStr"/>
      <c r="G80" s="9" t="inlineStr"/>
      <c r="H80" s="9" t="inlineStr"/>
      <c r="I80" s="9" t="inlineStr"/>
      <c r="J80" s="9" t="inlineStr"/>
      <c r="K80" s="10" t="inlineStr"/>
      <c r="L80" s="9" t="inlineStr"/>
    </row>
    <row r="81">
      <c r="A81" s="9" t="inlineStr"/>
      <c r="B81" s="9" t="inlineStr"/>
      <c r="C81" s="9" t="inlineStr"/>
      <c r="D81" s="10" t="inlineStr"/>
      <c r="E81" s="11" t="inlineStr"/>
      <c r="F81" s="9" t="inlineStr"/>
      <c r="G81" s="9" t="inlineStr"/>
      <c r="H81" s="9" t="inlineStr"/>
      <c r="I81" s="9" t="inlineStr"/>
      <c r="J81" s="9" t="inlineStr"/>
      <c r="K81" s="10" t="inlineStr"/>
      <c r="L81" s="9" t="inlineStr"/>
    </row>
    <row r="82">
      <c r="A82" s="9" t="inlineStr"/>
      <c r="B82" s="9" t="inlineStr"/>
      <c r="C82" s="9" t="inlineStr"/>
      <c r="D82" s="10" t="inlineStr"/>
      <c r="E82" s="11" t="inlineStr"/>
      <c r="F82" s="9" t="inlineStr"/>
      <c r="G82" s="9" t="inlineStr"/>
      <c r="H82" s="9" t="inlineStr"/>
      <c r="I82" s="9" t="inlineStr"/>
      <c r="J82" s="9" t="inlineStr"/>
      <c r="K82" s="10" t="inlineStr"/>
      <c r="L82" s="9" t="inlineStr"/>
    </row>
    <row r="83">
      <c r="A83" s="9" t="inlineStr"/>
      <c r="B83" s="9" t="inlineStr"/>
      <c r="C83" s="9" t="inlineStr"/>
      <c r="D83" s="10" t="inlineStr"/>
      <c r="E83" s="11" t="inlineStr"/>
      <c r="F83" s="9" t="inlineStr"/>
      <c r="G83" s="9" t="inlineStr"/>
      <c r="H83" s="9" t="inlineStr"/>
      <c r="I83" s="9" t="inlineStr"/>
      <c r="J83" s="9" t="inlineStr"/>
      <c r="K83" s="10" t="inlineStr"/>
      <c r="L83" s="9" t="inlineStr"/>
    </row>
    <row r="84">
      <c r="A84" s="9" t="inlineStr"/>
      <c r="B84" s="9" t="inlineStr"/>
      <c r="C84" s="9" t="inlineStr"/>
      <c r="D84" s="10" t="inlineStr"/>
      <c r="E84" s="11" t="inlineStr"/>
      <c r="F84" s="9" t="inlineStr"/>
      <c r="G84" s="9" t="inlineStr"/>
      <c r="H84" s="9" t="inlineStr"/>
      <c r="I84" s="9" t="inlineStr"/>
      <c r="J84" s="9" t="inlineStr"/>
      <c r="K84" s="10" t="inlineStr"/>
      <c r="L84" s="9" t="inlineStr"/>
    </row>
    <row r="85">
      <c r="A85" s="9" t="inlineStr"/>
      <c r="B85" s="9" t="inlineStr"/>
      <c r="C85" s="9" t="inlineStr"/>
      <c r="D85" s="10" t="inlineStr"/>
      <c r="E85" s="11" t="inlineStr"/>
      <c r="F85" s="9" t="inlineStr"/>
      <c r="G85" s="9" t="inlineStr"/>
      <c r="H85" s="9" t="inlineStr"/>
      <c r="I85" s="9" t="inlineStr"/>
      <c r="J85" s="9" t="inlineStr"/>
      <c r="K85" s="10" t="inlineStr"/>
      <c r="L85" s="9" t="inlineStr"/>
    </row>
    <row r="86">
      <c r="A86" s="9" t="inlineStr"/>
      <c r="B86" s="9" t="inlineStr"/>
      <c r="C86" s="9" t="inlineStr"/>
      <c r="D86" s="10" t="inlineStr"/>
      <c r="E86" s="11" t="inlineStr"/>
      <c r="F86" s="9" t="inlineStr"/>
      <c r="G86" s="9" t="inlineStr"/>
      <c r="H86" s="9" t="inlineStr"/>
      <c r="I86" s="9" t="inlineStr"/>
      <c r="J86" s="9" t="inlineStr"/>
      <c r="K86" s="10" t="inlineStr"/>
      <c r="L86" s="9" t="inlineStr"/>
    </row>
    <row r="87">
      <c r="A87" s="9" t="inlineStr"/>
      <c r="B87" s="9" t="inlineStr"/>
      <c r="C87" s="9" t="inlineStr"/>
      <c r="D87" s="10" t="inlineStr"/>
      <c r="E87" s="11" t="inlineStr"/>
      <c r="F87" s="9" t="inlineStr"/>
      <c r="G87" s="9" t="inlineStr"/>
      <c r="H87" s="9" t="inlineStr"/>
      <c r="I87" s="9" t="inlineStr"/>
      <c r="J87" s="9" t="inlineStr"/>
      <c r="K87" s="10" t="inlineStr"/>
      <c r="L87" s="9" t="inlineStr"/>
    </row>
    <row r="88">
      <c r="A88" s="9" t="inlineStr"/>
      <c r="B88" s="9" t="inlineStr"/>
      <c r="C88" s="9" t="inlineStr"/>
      <c r="D88" s="10" t="inlineStr"/>
      <c r="E88" s="11" t="inlineStr"/>
      <c r="F88" s="9" t="inlineStr"/>
      <c r="G88" s="9" t="inlineStr"/>
      <c r="H88" s="9" t="inlineStr"/>
      <c r="I88" s="9" t="inlineStr"/>
      <c r="J88" s="9" t="inlineStr"/>
      <c r="K88" s="10" t="inlineStr"/>
      <c r="L88" s="9" t="inlineStr"/>
    </row>
    <row r="89">
      <c r="A89" s="9" t="inlineStr"/>
      <c r="B89" s="9" t="inlineStr"/>
      <c r="C89" s="9" t="inlineStr"/>
      <c r="D89" s="10" t="inlineStr"/>
      <c r="E89" s="11" t="inlineStr"/>
      <c r="F89" s="9" t="inlineStr"/>
      <c r="G89" s="9" t="inlineStr"/>
      <c r="H89" s="9" t="inlineStr"/>
      <c r="I89" s="9" t="inlineStr"/>
      <c r="J89" s="9" t="inlineStr"/>
      <c r="K89" s="10" t="inlineStr"/>
      <c r="L89" s="9" t="inlineStr"/>
    </row>
    <row r="90">
      <c r="A90" s="9" t="inlineStr"/>
      <c r="B90" s="9" t="inlineStr"/>
      <c r="C90" s="9" t="inlineStr"/>
      <c r="D90" s="10" t="inlineStr"/>
      <c r="E90" s="11" t="inlineStr"/>
      <c r="F90" s="9" t="inlineStr"/>
      <c r="G90" s="9" t="inlineStr"/>
      <c r="H90" s="9" t="inlineStr"/>
      <c r="I90" s="9" t="inlineStr"/>
      <c r="J90" s="9" t="inlineStr"/>
      <c r="K90" s="10" t="inlineStr"/>
      <c r="L90" s="9" t="inlineStr"/>
    </row>
    <row r="91">
      <c r="A91" s="9" t="inlineStr"/>
      <c r="B91" s="9" t="inlineStr"/>
      <c r="C91" s="9" t="inlineStr"/>
      <c r="D91" s="10" t="inlineStr"/>
      <c r="E91" s="11" t="inlineStr"/>
      <c r="F91" s="9" t="inlineStr"/>
      <c r="G91" s="9" t="inlineStr"/>
      <c r="H91" s="9" t="inlineStr"/>
      <c r="I91" s="9" t="inlineStr"/>
      <c r="J91" s="9" t="inlineStr"/>
      <c r="K91" s="10" t="inlineStr"/>
      <c r="L91" s="9" t="inlineStr"/>
    </row>
    <row r="92">
      <c r="A92" s="9" t="inlineStr"/>
      <c r="B92" s="9" t="inlineStr"/>
      <c r="C92" s="9" t="inlineStr"/>
      <c r="D92" s="10" t="inlineStr"/>
      <c r="E92" s="11" t="inlineStr"/>
      <c r="F92" s="9" t="inlineStr"/>
      <c r="G92" s="9" t="inlineStr"/>
      <c r="H92" s="9" t="inlineStr"/>
      <c r="I92" s="9" t="inlineStr"/>
      <c r="J92" s="9" t="inlineStr"/>
      <c r="K92" s="10" t="inlineStr"/>
      <c r="L92" s="9" t="inlineStr"/>
    </row>
    <row r="93">
      <c r="A93" s="9" t="inlineStr"/>
      <c r="B93" s="9" t="inlineStr"/>
      <c r="C93" s="9" t="inlineStr"/>
      <c r="D93" s="10" t="inlineStr"/>
      <c r="E93" s="11" t="inlineStr"/>
      <c r="F93" s="9" t="inlineStr"/>
      <c r="G93" s="9" t="inlineStr"/>
      <c r="H93" s="9" t="inlineStr"/>
      <c r="I93" s="9" t="inlineStr"/>
      <c r="J93" s="9" t="inlineStr"/>
      <c r="K93" s="10" t="inlineStr"/>
      <c r="L93" s="9" t="inlineStr"/>
    </row>
    <row r="94">
      <c r="A94" s="9" t="inlineStr"/>
      <c r="B94" s="9" t="inlineStr"/>
      <c r="C94" s="9" t="inlineStr"/>
      <c r="D94" s="10" t="inlineStr"/>
      <c r="E94" s="11" t="inlineStr"/>
      <c r="F94" s="9" t="inlineStr"/>
      <c r="G94" s="9" t="inlineStr"/>
      <c r="H94" s="9" t="inlineStr"/>
      <c r="I94" s="9" t="inlineStr"/>
      <c r="J94" s="9" t="inlineStr"/>
      <c r="K94" s="10" t="inlineStr"/>
      <c r="L94" s="9" t="inlineStr"/>
    </row>
    <row r="95">
      <c r="A95" s="9" t="inlineStr"/>
      <c r="B95" s="9" t="inlineStr"/>
      <c r="C95" s="9" t="inlineStr"/>
      <c r="D95" s="10" t="inlineStr"/>
      <c r="E95" s="11" t="inlineStr"/>
      <c r="F95" s="9" t="inlineStr"/>
      <c r="G95" s="9" t="inlineStr"/>
      <c r="H95" s="9" t="inlineStr"/>
      <c r="I95" s="9" t="inlineStr"/>
      <c r="J95" s="9" t="inlineStr"/>
      <c r="K95" s="10" t="inlineStr"/>
      <c r="L95" s="9" t="inlineStr"/>
    </row>
    <row r="96">
      <c r="A96" s="9" t="inlineStr"/>
      <c r="B96" s="9" t="inlineStr"/>
      <c r="C96" s="9" t="inlineStr"/>
      <c r="D96" s="10" t="inlineStr"/>
      <c r="E96" s="11" t="inlineStr"/>
      <c r="F96" s="9" t="inlineStr"/>
      <c r="G96" s="9" t="inlineStr"/>
      <c r="H96" s="9" t="inlineStr"/>
      <c r="I96" s="9" t="inlineStr"/>
      <c r="J96" s="9" t="inlineStr"/>
      <c r="K96" s="10" t="inlineStr"/>
      <c r="L96" s="9" t="inlineStr"/>
    </row>
    <row r="97">
      <c r="A97" s="9" t="inlineStr"/>
      <c r="B97" s="9" t="inlineStr"/>
      <c r="C97" s="9" t="inlineStr"/>
      <c r="D97" s="10" t="inlineStr"/>
      <c r="E97" s="11" t="inlineStr"/>
      <c r="F97" s="9" t="inlineStr"/>
      <c r="G97" s="9" t="inlineStr"/>
      <c r="H97" s="9" t="inlineStr"/>
      <c r="I97" s="9" t="inlineStr"/>
      <c r="J97" s="9" t="inlineStr"/>
      <c r="K97" s="10" t="inlineStr"/>
      <c r="L97" s="9" t="inlineStr"/>
    </row>
    <row r="98">
      <c r="A98" s="9" t="inlineStr"/>
      <c r="B98" s="9" t="inlineStr"/>
      <c r="C98" s="9" t="inlineStr"/>
      <c r="D98" s="10" t="inlineStr"/>
      <c r="E98" s="11" t="inlineStr"/>
      <c r="F98" s="9" t="inlineStr"/>
      <c r="G98" s="9" t="inlineStr"/>
      <c r="H98" s="9" t="inlineStr"/>
      <c r="I98" s="9" t="inlineStr"/>
      <c r="J98" s="9" t="inlineStr"/>
      <c r="K98" s="10" t="inlineStr"/>
      <c r="L98" s="9" t="inlineStr"/>
    </row>
    <row r="99">
      <c r="A99" s="9" t="inlineStr"/>
      <c r="B99" s="9" t="inlineStr"/>
      <c r="C99" s="9" t="inlineStr"/>
      <c r="D99" s="10" t="inlineStr"/>
      <c r="E99" s="11" t="inlineStr"/>
      <c r="F99" s="9" t="inlineStr"/>
      <c r="G99" s="9" t="inlineStr"/>
      <c r="H99" s="9" t="inlineStr"/>
      <c r="I99" s="9" t="inlineStr"/>
      <c r="J99" s="9" t="inlineStr"/>
      <c r="K99" s="10" t="inlineStr"/>
      <c r="L99" s="9" t="inlineStr"/>
    </row>
    <row r="100">
      <c r="A100" s="9" t="inlineStr"/>
      <c r="B100" s="9" t="inlineStr"/>
      <c r="C100" s="9" t="inlineStr"/>
      <c r="D100" s="10" t="inlineStr"/>
      <c r="E100" s="11" t="inlineStr"/>
      <c r="F100" s="9" t="inlineStr"/>
      <c r="G100" s="9" t="inlineStr"/>
      <c r="H100" s="9" t="inlineStr"/>
      <c r="I100" s="9" t="inlineStr"/>
      <c r="J100" s="9" t="inlineStr"/>
      <c r="K100" s="10" t="inlineStr"/>
      <c r="L100" s="9" t="inlineStr"/>
    </row>
    <row r="101">
      <c r="A101" s="9" t="inlineStr"/>
      <c r="B101" s="9" t="inlineStr"/>
      <c r="C101" s="9" t="inlineStr"/>
      <c r="D101" s="10" t="inlineStr"/>
      <c r="E101" s="11" t="inlineStr"/>
      <c r="F101" s="9" t="inlineStr"/>
      <c r="G101" s="9" t="inlineStr"/>
      <c r="H101" s="9" t="inlineStr"/>
      <c r="I101" s="9" t="inlineStr"/>
      <c r="J101" s="9" t="inlineStr"/>
      <c r="K101" s="10" t="inlineStr"/>
      <c r="L101" s="9" t="inlineStr"/>
    </row>
    <row r="102">
      <c r="A102" s="9" t="inlineStr"/>
      <c r="B102" s="9" t="inlineStr"/>
      <c r="C102" s="9" t="inlineStr"/>
      <c r="D102" s="10" t="inlineStr"/>
      <c r="E102" s="11" t="inlineStr"/>
      <c r="F102" s="9" t="inlineStr"/>
      <c r="G102" s="9" t="inlineStr"/>
      <c r="H102" s="9" t="inlineStr"/>
      <c r="I102" s="9" t="inlineStr"/>
      <c r="J102" s="9" t="inlineStr"/>
      <c r="K102" s="10" t="inlineStr"/>
      <c r="L102" s="9" t="inlineStr"/>
    </row>
    <row r="103">
      <c r="A103" s="9" t="inlineStr"/>
      <c r="B103" s="9" t="inlineStr"/>
      <c r="C103" s="9" t="inlineStr"/>
      <c r="D103" s="10" t="inlineStr"/>
      <c r="E103" s="11" t="inlineStr"/>
      <c r="F103" s="9" t="inlineStr"/>
      <c r="G103" s="9" t="inlineStr"/>
      <c r="H103" s="9" t="inlineStr"/>
      <c r="I103" s="9" t="inlineStr"/>
      <c r="J103" s="9" t="inlineStr"/>
      <c r="K103" s="10" t="inlineStr"/>
      <c r="L103" s="9" t="inlineStr"/>
    </row>
    <row r="104">
      <c r="A104" s="9" t="inlineStr"/>
      <c r="B104" s="9" t="inlineStr"/>
      <c r="C104" s="9" t="inlineStr"/>
      <c r="D104" s="10" t="inlineStr"/>
      <c r="E104" s="11" t="inlineStr"/>
      <c r="F104" s="9" t="inlineStr"/>
      <c r="G104" s="9" t="inlineStr"/>
      <c r="H104" s="9" t="inlineStr"/>
      <c r="I104" s="9" t="inlineStr"/>
      <c r="J104" s="9" t="inlineStr"/>
      <c r="K104" s="10" t="inlineStr"/>
      <c r="L104" s="9" t="inlineStr"/>
    </row>
    <row r="105">
      <c r="A105" s="9" t="inlineStr"/>
      <c r="B105" s="9" t="inlineStr"/>
      <c r="C105" s="9" t="inlineStr"/>
      <c r="D105" s="10" t="inlineStr"/>
      <c r="E105" s="11" t="inlineStr"/>
      <c r="F105" s="9" t="inlineStr"/>
      <c r="G105" s="9" t="inlineStr"/>
      <c r="H105" s="9" t="inlineStr"/>
      <c r="I105" s="9" t="inlineStr"/>
      <c r="J105" s="9" t="inlineStr"/>
      <c r="K105" s="10" t="inlineStr"/>
      <c r="L105" s="9" t="inlineStr"/>
    </row>
    <row r="106">
      <c r="A106" s="9" t="inlineStr"/>
      <c r="B106" s="9" t="inlineStr"/>
      <c r="C106" s="9" t="inlineStr"/>
      <c r="D106" s="10" t="inlineStr"/>
      <c r="E106" s="11" t="inlineStr"/>
      <c r="F106" s="9" t="inlineStr"/>
      <c r="G106" s="9" t="inlineStr"/>
      <c r="H106" s="9" t="inlineStr"/>
      <c r="I106" s="9" t="inlineStr"/>
      <c r="J106" s="9" t="inlineStr"/>
      <c r="K106" s="10" t="inlineStr"/>
      <c r="L106" s="9" t="inlineStr"/>
    </row>
    <row r="107">
      <c r="A107" s="9" t="inlineStr"/>
      <c r="B107" s="9" t="inlineStr"/>
      <c r="C107" s="9" t="inlineStr"/>
      <c r="D107" s="10" t="inlineStr"/>
      <c r="E107" s="11" t="inlineStr"/>
      <c r="F107" s="9" t="inlineStr"/>
      <c r="G107" s="9" t="inlineStr"/>
      <c r="H107" s="9" t="inlineStr"/>
      <c r="I107" s="9" t="inlineStr"/>
      <c r="J107" s="9" t="inlineStr"/>
      <c r="K107" s="10" t="inlineStr"/>
      <c r="L107" s="9" t="inlineStr"/>
    </row>
    <row r="108">
      <c r="A108" s="9" t="inlineStr"/>
      <c r="B108" s="9" t="inlineStr"/>
      <c r="C108" s="9" t="inlineStr"/>
      <c r="D108" s="10" t="inlineStr"/>
      <c r="E108" s="11" t="inlineStr"/>
      <c r="F108" s="9" t="inlineStr"/>
      <c r="G108" s="9" t="inlineStr"/>
      <c r="H108" s="9" t="inlineStr"/>
      <c r="I108" s="9" t="inlineStr"/>
      <c r="J108" s="9" t="inlineStr"/>
      <c r="K108" s="10" t="inlineStr"/>
      <c r="L108" s="9" t="inlineStr"/>
    </row>
    <row r="109">
      <c r="A109" s="9" t="inlineStr"/>
      <c r="B109" s="9" t="inlineStr"/>
      <c r="C109" s="9" t="inlineStr"/>
      <c r="D109" s="10" t="inlineStr"/>
      <c r="E109" s="11" t="inlineStr"/>
      <c r="F109" s="9" t="inlineStr"/>
      <c r="G109" s="9" t="inlineStr"/>
      <c r="H109" s="9" t="inlineStr"/>
      <c r="I109" s="9" t="inlineStr"/>
      <c r="J109" s="9" t="inlineStr"/>
      <c r="K109" s="10" t="inlineStr"/>
      <c r="L109" s="9" t="inlineStr"/>
    </row>
    <row r="110">
      <c r="A110" s="9" t="inlineStr"/>
      <c r="B110" s="9" t="inlineStr"/>
      <c r="C110" s="9" t="inlineStr"/>
      <c r="D110" s="10" t="inlineStr"/>
      <c r="E110" s="11" t="inlineStr"/>
      <c r="F110" s="9" t="inlineStr"/>
      <c r="G110" s="9" t="inlineStr"/>
      <c r="H110" s="9" t="inlineStr"/>
      <c r="I110" s="9" t="inlineStr"/>
      <c r="J110" s="9" t="inlineStr"/>
      <c r="K110" s="10" t="inlineStr"/>
      <c r="L110" s="9" t="inlineStr"/>
    </row>
    <row r="111">
      <c r="A111" s="9" t="inlineStr"/>
      <c r="B111" s="9" t="inlineStr"/>
      <c r="C111" s="9" t="inlineStr"/>
      <c r="D111" s="10" t="inlineStr"/>
      <c r="E111" s="11" t="inlineStr"/>
      <c r="F111" s="9" t="inlineStr"/>
      <c r="G111" s="9" t="inlineStr"/>
      <c r="H111" s="9" t="inlineStr"/>
      <c r="I111" s="9" t="inlineStr"/>
      <c r="J111" s="9" t="inlineStr"/>
      <c r="K111" s="10" t="inlineStr"/>
      <c r="L111" s="9" t="inlineStr"/>
    </row>
    <row r="112">
      <c r="A112" s="9" t="inlineStr"/>
      <c r="B112" s="9" t="inlineStr"/>
      <c r="C112" s="9" t="inlineStr"/>
      <c r="D112" s="10" t="inlineStr"/>
      <c r="E112" s="11" t="inlineStr"/>
      <c r="F112" s="9" t="inlineStr"/>
      <c r="G112" s="9" t="inlineStr"/>
      <c r="H112" s="9" t="inlineStr"/>
      <c r="I112" s="9" t="inlineStr"/>
      <c r="J112" s="9" t="inlineStr"/>
      <c r="K112" s="10" t="inlineStr"/>
      <c r="L112" s="9" t="inlineStr"/>
    </row>
    <row r="113">
      <c r="A113" s="9" t="inlineStr"/>
      <c r="B113" s="9" t="inlineStr"/>
      <c r="C113" s="9" t="inlineStr"/>
      <c r="D113" s="10" t="inlineStr"/>
      <c r="E113" s="11" t="inlineStr"/>
      <c r="F113" s="9" t="inlineStr"/>
      <c r="G113" s="9" t="inlineStr"/>
      <c r="H113" s="9" t="inlineStr"/>
      <c r="I113" s="9" t="inlineStr"/>
      <c r="J113" s="9" t="inlineStr"/>
      <c r="K113" s="10" t="inlineStr"/>
      <c r="L113" s="9" t="inlineStr"/>
    </row>
    <row r="114">
      <c r="A114" s="9" t="inlineStr"/>
      <c r="B114" s="9" t="inlineStr"/>
      <c r="C114" s="9" t="inlineStr"/>
      <c r="D114" s="10" t="inlineStr"/>
      <c r="E114" s="11" t="inlineStr"/>
      <c r="F114" s="9" t="inlineStr"/>
      <c r="G114" s="9" t="inlineStr"/>
      <c r="H114" s="9" t="inlineStr"/>
      <c r="I114" s="9" t="inlineStr"/>
      <c r="J114" s="9" t="inlineStr"/>
      <c r="K114" s="10" t="inlineStr"/>
      <c r="L114" s="9" t="inlineStr"/>
    </row>
    <row r="115">
      <c r="A115" s="9" t="inlineStr"/>
      <c r="B115" s="9" t="inlineStr"/>
      <c r="C115" s="9" t="inlineStr"/>
      <c r="D115" s="10" t="inlineStr"/>
      <c r="E115" s="11" t="inlineStr"/>
      <c r="F115" s="9" t="inlineStr"/>
      <c r="G115" s="9" t="inlineStr"/>
      <c r="H115" s="9" t="inlineStr"/>
      <c r="I115" s="9" t="inlineStr"/>
      <c r="J115" s="9" t="inlineStr"/>
      <c r="K115" s="10" t="inlineStr"/>
      <c r="L115" s="9" t="inlineStr"/>
    </row>
    <row r="116">
      <c r="A116" s="9" t="inlineStr"/>
      <c r="B116" s="9" t="inlineStr"/>
      <c r="C116" s="9" t="inlineStr"/>
      <c r="D116" s="10" t="inlineStr"/>
      <c r="E116" s="11" t="inlineStr"/>
      <c r="F116" s="9" t="inlineStr"/>
      <c r="G116" s="9" t="inlineStr"/>
      <c r="H116" s="9" t="inlineStr"/>
      <c r="I116" s="9" t="inlineStr"/>
      <c r="J116" s="9" t="inlineStr"/>
      <c r="K116" s="10" t="inlineStr"/>
      <c r="L116" s="9" t="inlineStr"/>
    </row>
    <row r="117">
      <c r="A117" s="9" t="inlineStr"/>
      <c r="B117" s="9" t="inlineStr"/>
      <c r="C117" s="9" t="inlineStr"/>
      <c r="D117" s="10" t="inlineStr"/>
      <c r="E117" s="11" t="inlineStr"/>
      <c r="F117" s="9" t="inlineStr"/>
      <c r="G117" s="9" t="inlineStr"/>
      <c r="H117" s="9" t="inlineStr"/>
      <c r="I117" s="9" t="inlineStr"/>
      <c r="J117" s="9" t="inlineStr"/>
      <c r="K117" s="10" t="inlineStr"/>
      <c r="L117" s="9" t="inlineStr"/>
    </row>
    <row r="118">
      <c r="A118" s="9" t="inlineStr"/>
      <c r="B118" s="9" t="inlineStr"/>
      <c r="C118" s="9" t="inlineStr"/>
      <c r="D118" s="10" t="inlineStr"/>
      <c r="E118" s="11" t="inlineStr"/>
      <c r="F118" s="9" t="inlineStr"/>
      <c r="G118" s="9" t="inlineStr"/>
      <c r="H118" s="9" t="inlineStr"/>
      <c r="I118" s="9" t="inlineStr"/>
      <c r="J118" s="9" t="inlineStr"/>
      <c r="K118" s="10" t="inlineStr"/>
      <c r="L118" s="9" t="inlineStr"/>
    </row>
    <row r="119">
      <c r="A119" s="9" t="inlineStr"/>
      <c r="B119" s="9" t="inlineStr"/>
      <c r="C119" s="9" t="inlineStr"/>
      <c r="D119" s="10" t="inlineStr"/>
      <c r="E119" s="11" t="inlineStr"/>
      <c r="F119" s="9" t="inlineStr"/>
      <c r="G119" s="9" t="inlineStr"/>
      <c r="H119" s="9" t="inlineStr"/>
      <c r="I119" s="9" t="inlineStr"/>
      <c r="J119" s="9" t="inlineStr"/>
      <c r="K119" s="10" t="inlineStr"/>
      <c r="L119" s="9" t="inlineStr"/>
    </row>
    <row r="120">
      <c r="A120" s="9" t="inlineStr"/>
      <c r="B120" s="9" t="inlineStr"/>
      <c r="C120" s="9" t="inlineStr"/>
      <c r="D120" s="10" t="inlineStr"/>
      <c r="E120" s="11" t="inlineStr"/>
      <c r="F120" s="9" t="inlineStr"/>
      <c r="G120" s="9" t="inlineStr"/>
      <c r="H120" s="9" t="inlineStr"/>
      <c r="I120" s="9" t="inlineStr"/>
      <c r="J120" s="9" t="inlineStr"/>
      <c r="K120" s="10" t="inlineStr"/>
      <c r="L120" s="9" t="inlineStr"/>
    </row>
    <row r="121">
      <c r="A121" s="9" t="inlineStr"/>
      <c r="B121" s="9" t="inlineStr"/>
      <c r="C121" s="9" t="inlineStr"/>
      <c r="D121" s="10" t="inlineStr"/>
      <c r="E121" s="11" t="inlineStr"/>
      <c r="F121" s="9" t="inlineStr"/>
      <c r="G121" s="9" t="inlineStr"/>
      <c r="H121" s="9" t="inlineStr"/>
      <c r="I121" s="9" t="inlineStr"/>
      <c r="J121" s="9" t="inlineStr"/>
      <c r="K121" s="10" t="inlineStr"/>
      <c r="L121" s="9" t="inlineStr"/>
    </row>
    <row r="122">
      <c r="A122" s="9" t="inlineStr"/>
      <c r="B122" s="9" t="inlineStr"/>
      <c r="C122" s="9" t="inlineStr"/>
      <c r="D122" s="10" t="inlineStr"/>
      <c r="E122" s="11" t="inlineStr"/>
      <c r="F122" s="9" t="inlineStr"/>
      <c r="G122" s="9" t="inlineStr"/>
      <c r="H122" s="9" t="inlineStr"/>
      <c r="I122" s="9" t="inlineStr"/>
      <c r="J122" s="9" t="inlineStr"/>
      <c r="K122" s="10" t="inlineStr"/>
      <c r="L122" s="9" t="inlineStr"/>
    </row>
    <row r="123">
      <c r="A123" s="9" t="inlineStr"/>
      <c r="B123" s="9" t="inlineStr"/>
      <c r="C123" s="9" t="inlineStr"/>
      <c r="D123" s="10" t="inlineStr"/>
      <c r="E123" s="11" t="inlineStr"/>
      <c r="F123" s="9" t="inlineStr"/>
      <c r="G123" s="9" t="inlineStr"/>
      <c r="H123" s="9" t="inlineStr"/>
      <c r="I123" s="9" t="inlineStr"/>
      <c r="J123" s="9" t="inlineStr"/>
      <c r="K123" s="10" t="inlineStr"/>
      <c r="L123" s="9" t="inlineStr"/>
    </row>
    <row r="124">
      <c r="A124" s="9" t="inlineStr"/>
      <c r="B124" s="9" t="inlineStr"/>
      <c r="C124" s="9" t="inlineStr"/>
      <c r="D124" s="10" t="inlineStr"/>
      <c r="E124" s="11" t="inlineStr"/>
      <c r="F124" s="9" t="inlineStr"/>
      <c r="G124" s="9" t="inlineStr"/>
      <c r="H124" s="9" t="inlineStr"/>
      <c r="I124" s="9" t="inlineStr"/>
      <c r="J124" s="9" t="inlineStr"/>
      <c r="K124" s="10" t="inlineStr"/>
      <c r="L124" s="9" t="inlineStr"/>
    </row>
    <row r="125">
      <c r="A125" s="9" t="inlineStr"/>
      <c r="B125" s="9" t="inlineStr"/>
      <c r="C125" s="9" t="inlineStr"/>
      <c r="D125" s="10" t="inlineStr"/>
      <c r="E125" s="11" t="inlineStr"/>
      <c r="F125" s="9" t="inlineStr"/>
      <c r="G125" s="9" t="inlineStr"/>
      <c r="H125" s="9" t="inlineStr"/>
      <c r="I125" s="9" t="inlineStr"/>
      <c r="J125" s="9" t="inlineStr"/>
      <c r="K125" s="10" t="inlineStr"/>
      <c r="L125" s="9" t="inlineStr"/>
    </row>
    <row r="126">
      <c r="A126" s="9" t="inlineStr"/>
      <c r="B126" s="9" t="inlineStr"/>
      <c r="C126" s="9" t="inlineStr"/>
      <c r="D126" s="10" t="inlineStr"/>
      <c r="E126" s="11" t="inlineStr"/>
      <c r="F126" s="9" t="inlineStr"/>
      <c r="G126" s="9" t="inlineStr"/>
      <c r="H126" s="9" t="inlineStr"/>
      <c r="I126" s="9" t="inlineStr"/>
      <c r="J126" s="9" t="inlineStr"/>
      <c r="K126" s="10" t="inlineStr"/>
      <c r="L126" s="9" t="inlineStr"/>
    </row>
    <row r="127">
      <c r="A127" s="9" t="inlineStr"/>
      <c r="B127" s="9" t="inlineStr"/>
      <c r="C127" s="9" t="inlineStr"/>
      <c r="D127" s="10" t="inlineStr"/>
      <c r="E127" s="11" t="inlineStr"/>
      <c r="F127" s="9" t="inlineStr"/>
      <c r="G127" s="9" t="inlineStr"/>
      <c r="H127" s="9" t="inlineStr"/>
      <c r="I127" s="9" t="inlineStr"/>
      <c r="J127" s="9" t="inlineStr"/>
      <c r="K127" s="10" t="inlineStr"/>
      <c r="L127" s="9" t="inlineStr"/>
    </row>
    <row r="128">
      <c r="A128" s="9" t="inlineStr"/>
      <c r="B128" s="9" t="inlineStr"/>
      <c r="C128" s="9" t="inlineStr"/>
      <c r="D128" s="10" t="inlineStr"/>
      <c r="E128" s="11" t="inlineStr"/>
      <c r="F128" s="9" t="inlineStr"/>
      <c r="G128" s="9" t="inlineStr"/>
      <c r="H128" s="9" t="inlineStr"/>
      <c r="I128" s="9" t="inlineStr"/>
      <c r="J128" s="9" t="inlineStr"/>
      <c r="K128" s="10" t="inlineStr"/>
      <c r="L128" s="9" t="inlineStr"/>
    </row>
    <row r="129">
      <c r="A129" s="9" t="inlineStr"/>
      <c r="B129" s="9" t="inlineStr"/>
      <c r="C129" s="9" t="inlineStr"/>
      <c r="D129" s="10" t="inlineStr"/>
      <c r="E129" s="11" t="inlineStr"/>
      <c r="F129" s="9" t="inlineStr"/>
      <c r="G129" s="9" t="inlineStr"/>
      <c r="H129" s="9" t="inlineStr"/>
      <c r="I129" s="9" t="inlineStr"/>
      <c r="J129" s="9" t="inlineStr"/>
      <c r="K129" s="10" t="inlineStr"/>
      <c r="L129" s="9" t="inlineStr"/>
    </row>
    <row r="130">
      <c r="A130" s="9" t="inlineStr"/>
      <c r="B130" s="9" t="inlineStr"/>
      <c r="C130" s="9" t="inlineStr"/>
      <c r="D130" s="10" t="inlineStr"/>
      <c r="E130" s="11" t="inlineStr"/>
      <c r="F130" s="9" t="inlineStr"/>
      <c r="G130" s="9" t="inlineStr"/>
      <c r="H130" s="9" t="inlineStr"/>
      <c r="I130" s="9" t="inlineStr"/>
      <c r="J130" s="9" t="inlineStr"/>
      <c r="K130" s="10" t="inlineStr"/>
      <c r="L130" s="9" t="inlineStr"/>
    </row>
    <row r="131">
      <c r="A131" s="9" t="inlineStr"/>
      <c r="B131" s="9" t="inlineStr"/>
      <c r="C131" s="9" t="inlineStr"/>
      <c r="D131" s="10" t="inlineStr"/>
      <c r="E131" s="11" t="inlineStr"/>
      <c r="F131" s="9" t="inlineStr"/>
      <c r="G131" s="9" t="inlineStr"/>
      <c r="H131" s="9" t="inlineStr"/>
      <c r="I131" s="9" t="inlineStr"/>
      <c r="J131" s="9" t="inlineStr"/>
      <c r="K131" s="10" t="inlineStr"/>
      <c r="L131" s="9" t="inlineStr"/>
    </row>
    <row r="132">
      <c r="A132" s="9" t="inlineStr"/>
      <c r="B132" s="9" t="inlineStr"/>
      <c r="C132" s="9" t="inlineStr"/>
      <c r="D132" s="10" t="inlineStr"/>
      <c r="E132" s="11" t="inlineStr"/>
      <c r="F132" s="9" t="inlineStr"/>
      <c r="G132" s="9" t="inlineStr"/>
      <c r="H132" s="9" t="inlineStr"/>
      <c r="I132" s="9" t="inlineStr"/>
      <c r="J132" s="9" t="inlineStr"/>
      <c r="K132" s="10" t="inlineStr"/>
      <c r="L132" s="9" t="inlineStr"/>
    </row>
    <row r="133">
      <c r="A133" s="9" t="inlineStr"/>
      <c r="B133" s="9" t="inlineStr"/>
      <c r="C133" s="9" t="inlineStr"/>
      <c r="D133" s="10" t="inlineStr"/>
      <c r="E133" s="11" t="inlineStr"/>
      <c r="F133" s="9" t="inlineStr"/>
      <c r="G133" s="9" t="inlineStr"/>
      <c r="H133" s="9" t="inlineStr"/>
      <c r="I133" s="9" t="inlineStr"/>
      <c r="J133" s="9" t="inlineStr"/>
      <c r="K133" s="10" t="inlineStr"/>
      <c r="L133" s="9" t="inlineStr"/>
    </row>
    <row r="134">
      <c r="A134" s="9" t="inlineStr"/>
      <c r="B134" s="9" t="inlineStr"/>
      <c r="C134" s="9" t="inlineStr"/>
      <c r="D134" s="10" t="inlineStr"/>
      <c r="E134" s="11" t="inlineStr"/>
      <c r="F134" s="9" t="inlineStr"/>
      <c r="G134" s="9" t="inlineStr"/>
      <c r="H134" s="9" t="inlineStr"/>
      <c r="I134" s="9" t="inlineStr"/>
      <c r="J134" s="9" t="inlineStr"/>
      <c r="K134" s="10" t="inlineStr"/>
      <c r="L134" s="9" t="inlineStr"/>
    </row>
    <row r="135">
      <c r="A135" s="9" t="inlineStr"/>
      <c r="B135" s="9" t="inlineStr"/>
      <c r="C135" s="9" t="inlineStr"/>
      <c r="D135" s="10" t="inlineStr"/>
      <c r="E135" s="11" t="inlineStr"/>
      <c r="F135" s="9" t="inlineStr"/>
      <c r="G135" s="9" t="inlineStr"/>
      <c r="H135" s="9" t="inlineStr"/>
      <c r="I135" s="9" t="inlineStr"/>
      <c r="J135" s="9" t="inlineStr"/>
      <c r="K135" s="10" t="inlineStr"/>
      <c r="L135" s="9" t="inlineStr"/>
    </row>
    <row r="136">
      <c r="A136" s="9" t="inlineStr"/>
      <c r="B136" s="9" t="inlineStr"/>
      <c r="C136" s="9" t="inlineStr"/>
      <c r="D136" s="10" t="inlineStr"/>
      <c r="E136" s="11" t="inlineStr"/>
      <c r="F136" s="9" t="inlineStr"/>
      <c r="G136" s="9" t="inlineStr"/>
      <c r="H136" s="9" t="inlineStr"/>
      <c r="I136" s="9" t="inlineStr"/>
      <c r="J136" s="9" t="inlineStr"/>
      <c r="K136" s="10" t="inlineStr"/>
      <c r="L136" s="9" t="inlineStr"/>
    </row>
    <row r="137">
      <c r="A137" s="9" t="inlineStr"/>
      <c r="B137" s="9" t="inlineStr"/>
      <c r="C137" s="9" t="inlineStr"/>
      <c r="D137" s="10" t="inlineStr"/>
      <c r="E137" s="11" t="inlineStr"/>
      <c r="F137" s="9" t="inlineStr"/>
      <c r="G137" s="9" t="inlineStr"/>
      <c r="H137" s="9" t="inlineStr"/>
      <c r="I137" s="9" t="inlineStr"/>
      <c r="J137" s="9" t="inlineStr"/>
      <c r="K137" s="10" t="inlineStr"/>
      <c r="L137" s="9" t="inlineStr"/>
    </row>
    <row r="138">
      <c r="A138" s="9" t="inlineStr"/>
      <c r="B138" s="9" t="inlineStr"/>
      <c r="C138" s="9" t="inlineStr"/>
      <c r="D138" s="10" t="inlineStr"/>
      <c r="E138" s="11" t="inlineStr"/>
      <c r="F138" s="9" t="inlineStr"/>
      <c r="G138" s="9" t="inlineStr"/>
      <c r="H138" s="9" t="inlineStr"/>
      <c r="I138" s="9" t="inlineStr"/>
      <c r="J138" s="9" t="inlineStr"/>
      <c r="K138" s="10" t="inlineStr"/>
      <c r="L138" s="9" t="inlineStr"/>
    </row>
    <row r="139">
      <c r="A139" s="9" t="inlineStr"/>
      <c r="B139" s="9" t="inlineStr"/>
      <c r="C139" s="9" t="inlineStr"/>
      <c r="D139" s="10" t="inlineStr"/>
      <c r="E139" s="11" t="inlineStr"/>
      <c r="F139" s="9" t="inlineStr"/>
      <c r="G139" s="9" t="inlineStr"/>
      <c r="H139" s="9" t="inlineStr"/>
      <c r="I139" s="9" t="inlineStr"/>
      <c r="J139" s="9" t="inlineStr"/>
      <c r="K139" s="10" t="inlineStr"/>
      <c r="L139" s="9" t="inlineStr"/>
    </row>
    <row r="140">
      <c r="A140" s="9" t="inlineStr"/>
      <c r="B140" s="9" t="inlineStr"/>
      <c r="C140" s="9" t="inlineStr"/>
      <c r="D140" s="10" t="inlineStr"/>
      <c r="E140" s="11" t="inlineStr"/>
      <c r="F140" s="9" t="inlineStr"/>
      <c r="G140" s="9" t="inlineStr"/>
      <c r="H140" s="9" t="inlineStr"/>
      <c r="I140" s="9" t="inlineStr"/>
      <c r="J140" s="9" t="inlineStr"/>
      <c r="K140" s="10" t="inlineStr"/>
      <c r="L140" s="9" t="inlineStr"/>
    </row>
    <row r="141">
      <c r="A141" s="9" t="inlineStr"/>
      <c r="B141" s="9" t="inlineStr"/>
      <c r="C141" s="9" t="inlineStr"/>
      <c r="D141" s="10" t="inlineStr"/>
      <c r="E141" s="11" t="inlineStr"/>
      <c r="F141" s="9" t="inlineStr"/>
      <c r="G141" s="9" t="inlineStr"/>
      <c r="H141" s="9" t="inlineStr"/>
      <c r="I141" s="9" t="inlineStr"/>
      <c r="J141" s="9" t="inlineStr"/>
      <c r="K141" s="10" t="inlineStr"/>
      <c r="L141" s="9" t="inlineStr"/>
    </row>
    <row r="142">
      <c r="A142" s="9" t="inlineStr"/>
      <c r="B142" s="9" t="inlineStr"/>
      <c r="C142" s="9" t="inlineStr"/>
      <c r="D142" s="10" t="inlineStr"/>
      <c r="E142" s="11" t="inlineStr"/>
      <c r="F142" s="9" t="inlineStr"/>
      <c r="G142" s="9" t="inlineStr"/>
      <c r="H142" s="9" t="inlineStr"/>
      <c r="I142" s="9" t="inlineStr"/>
      <c r="J142" s="9" t="inlineStr"/>
      <c r="K142" s="10" t="inlineStr"/>
      <c r="L142" s="9" t="inlineStr"/>
    </row>
    <row r="143">
      <c r="A143" s="9" t="inlineStr"/>
      <c r="B143" s="9" t="inlineStr"/>
      <c r="C143" s="9" t="inlineStr"/>
      <c r="D143" s="10" t="inlineStr"/>
      <c r="E143" s="11" t="inlineStr"/>
      <c r="F143" s="9" t="inlineStr"/>
      <c r="G143" s="9" t="inlineStr"/>
      <c r="H143" s="9" t="inlineStr"/>
      <c r="I143" s="9" t="inlineStr"/>
      <c r="J143" s="9" t="inlineStr"/>
      <c r="K143" s="10" t="inlineStr"/>
      <c r="L143" s="9" t="inlineStr"/>
    </row>
    <row r="144">
      <c r="A144" s="9" t="inlineStr"/>
      <c r="B144" s="9" t="inlineStr"/>
      <c r="C144" s="9" t="inlineStr"/>
      <c r="D144" s="10" t="inlineStr"/>
      <c r="E144" s="11" t="inlineStr"/>
      <c r="F144" s="9" t="inlineStr"/>
      <c r="G144" s="9" t="inlineStr"/>
      <c r="H144" s="9" t="inlineStr"/>
      <c r="I144" s="9" t="inlineStr"/>
      <c r="J144" s="9" t="inlineStr"/>
      <c r="K144" s="10" t="inlineStr"/>
      <c r="L144" s="9" t="inlineStr"/>
    </row>
    <row r="145">
      <c r="A145" s="9" t="inlineStr"/>
      <c r="B145" s="9" t="inlineStr"/>
      <c r="C145" s="9" t="inlineStr"/>
      <c r="D145" s="10" t="inlineStr"/>
      <c r="E145" s="11" t="inlineStr"/>
      <c r="F145" s="9" t="inlineStr"/>
      <c r="G145" s="9" t="inlineStr"/>
      <c r="H145" s="9" t="inlineStr"/>
      <c r="I145" s="9" t="inlineStr"/>
      <c r="J145" s="9" t="inlineStr"/>
      <c r="K145" s="10" t="inlineStr"/>
      <c r="L145" s="9" t="inlineStr"/>
    </row>
    <row r="146">
      <c r="A146" s="9" t="inlineStr"/>
      <c r="B146" s="9" t="inlineStr"/>
      <c r="C146" s="9" t="inlineStr"/>
      <c r="D146" s="10" t="inlineStr"/>
      <c r="E146" s="11" t="inlineStr"/>
      <c r="F146" s="9" t="inlineStr"/>
      <c r="G146" s="9" t="inlineStr"/>
      <c r="H146" s="9" t="inlineStr"/>
      <c r="I146" s="9" t="inlineStr"/>
      <c r="J146" s="9" t="inlineStr"/>
      <c r="K146" s="10" t="inlineStr"/>
      <c r="L146" s="9" t="inlineStr"/>
    </row>
    <row r="147">
      <c r="A147" s="9" t="inlineStr"/>
      <c r="B147" s="9" t="inlineStr"/>
      <c r="C147" s="9" t="inlineStr"/>
      <c r="D147" s="10" t="inlineStr"/>
      <c r="E147" s="11" t="inlineStr"/>
      <c r="F147" s="9" t="inlineStr"/>
      <c r="G147" s="9" t="inlineStr"/>
      <c r="H147" s="9" t="inlineStr"/>
      <c r="I147" s="9" t="inlineStr"/>
      <c r="J147" s="9" t="inlineStr"/>
      <c r="K147" s="10" t="inlineStr"/>
      <c r="L147" s="9" t="inlineStr"/>
    </row>
    <row r="148">
      <c r="A148" s="9" t="inlineStr"/>
      <c r="B148" s="9" t="inlineStr"/>
      <c r="C148" s="9" t="inlineStr"/>
      <c r="D148" s="10" t="inlineStr"/>
      <c r="E148" s="11" t="inlineStr"/>
      <c r="F148" s="9" t="inlineStr"/>
      <c r="G148" s="9" t="inlineStr"/>
      <c r="H148" s="9" t="inlineStr"/>
      <c r="I148" s="9" t="inlineStr"/>
      <c r="J148" s="9" t="inlineStr"/>
      <c r="K148" s="10" t="inlineStr"/>
      <c r="L148" s="9" t="inlineStr"/>
    </row>
    <row r="149">
      <c r="A149" s="9" t="inlineStr"/>
      <c r="B149" s="9" t="inlineStr"/>
      <c r="C149" s="9" t="inlineStr"/>
      <c r="D149" s="10" t="inlineStr"/>
      <c r="E149" s="11" t="inlineStr"/>
      <c r="F149" s="9" t="inlineStr"/>
      <c r="G149" s="9" t="inlineStr"/>
      <c r="H149" s="9" t="inlineStr"/>
      <c r="I149" s="9" t="inlineStr"/>
      <c r="J149" s="9" t="inlineStr"/>
      <c r="K149" s="10" t="inlineStr"/>
      <c r="L149" s="9" t="inlineStr"/>
    </row>
    <row r="150">
      <c r="A150" s="9" t="inlineStr"/>
      <c r="B150" s="9" t="inlineStr"/>
      <c r="C150" s="9" t="inlineStr"/>
      <c r="D150" s="10" t="inlineStr"/>
      <c r="E150" s="11" t="inlineStr"/>
      <c r="F150" s="9" t="inlineStr"/>
      <c r="G150" s="9" t="inlineStr"/>
      <c r="H150" s="9" t="inlineStr"/>
      <c r="I150" s="9" t="inlineStr"/>
      <c r="J150" s="9" t="inlineStr"/>
      <c r="K150" s="10" t="inlineStr"/>
      <c r="L150" s="9" t="inlineStr"/>
    </row>
    <row r="151">
      <c r="A151" s="9" t="inlineStr"/>
      <c r="B151" s="9" t="inlineStr"/>
      <c r="C151" s="9" t="inlineStr"/>
      <c r="D151" s="10" t="inlineStr"/>
      <c r="E151" s="11" t="inlineStr"/>
      <c r="F151" s="9" t="inlineStr"/>
      <c r="G151" s="9" t="inlineStr"/>
      <c r="H151" s="9" t="inlineStr"/>
      <c r="I151" s="9" t="inlineStr"/>
      <c r="J151" s="9" t="inlineStr"/>
      <c r="K151" s="10" t="inlineStr"/>
      <c r="L151" s="9" t="inlineStr"/>
    </row>
    <row r="152">
      <c r="A152" s="9" t="inlineStr"/>
      <c r="B152" s="9" t="inlineStr"/>
      <c r="C152" s="9" t="inlineStr"/>
      <c r="D152" s="10" t="inlineStr"/>
      <c r="E152" s="11" t="inlineStr"/>
      <c r="F152" s="9" t="inlineStr"/>
      <c r="G152" s="9" t="inlineStr"/>
      <c r="H152" s="9" t="inlineStr"/>
      <c r="I152" s="9" t="inlineStr"/>
      <c r="J152" s="9" t="inlineStr"/>
      <c r="K152" s="10" t="inlineStr"/>
      <c r="L152" s="9" t="inlineStr"/>
    </row>
    <row r="153">
      <c r="A153" s="9" t="inlineStr"/>
      <c r="B153" s="9" t="inlineStr"/>
      <c r="C153" s="9" t="inlineStr"/>
      <c r="D153" s="10" t="inlineStr"/>
      <c r="E153" s="11" t="inlineStr"/>
      <c r="F153" s="9" t="inlineStr"/>
      <c r="G153" s="9" t="inlineStr"/>
      <c r="H153" s="9" t="inlineStr"/>
      <c r="I153" s="9" t="inlineStr"/>
      <c r="J153" s="9" t="inlineStr"/>
      <c r="K153" s="10" t="inlineStr"/>
      <c r="L153" s="9" t="inlineStr"/>
    </row>
    <row r="154">
      <c r="A154" s="9" t="inlineStr"/>
      <c r="B154" s="9" t="inlineStr"/>
      <c r="C154" s="9" t="inlineStr"/>
      <c r="D154" s="10" t="inlineStr"/>
      <c r="E154" s="11" t="inlineStr"/>
      <c r="F154" s="9" t="inlineStr"/>
      <c r="G154" s="9" t="inlineStr"/>
      <c r="H154" s="9" t="inlineStr"/>
      <c r="I154" s="9" t="inlineStr"/>
      <c r="J154" s="9" t="inlineStr"/>
      <c r="K154" s="10" t="inlineStr"/>
      <c r="L154" s="9" t="inlineStr"/>
    </row>
    <row r="155">
      <c r="A155" s="9" t="inlineStr"/>
      <c r="B155" s="9" t="inlineStr"/>
      <c r="C155" s="9" t="inlineStr"/>
      <c r="D155" s="10" t="inlineStr"/>
      <c r="E155" s="11" t="inlineStr"/>
      <c r="F155" s="9" t="inlineStr"/>
      <c r="G155" s="9" t="inlineStr"/>
      <c r="H155" s="9" t="inlineStr"/>
      <c r="I155" s="9" t="inlineStr"/>
      <c r="J155" s="9" t="inlineStr"/>
      <c r="K155" s="10" t="inlineStr"/>
      <c r="L155" s="9" t="inlineStr"/>
    </row>
    <row r="156">
      <c r="A156" s="9" t="inlineStr"/>
      <c r="B156" s="9" t="inlineStr"/>
      <c r="C156" s="9" t="inlineStr"/>
      <c r="D156" s="10" t="inlineStr"/>
      <c r="E156" s="11" t="inlineStr"/>
      <c r="F156" s="9" t="inlineStr"/>
      <c r="G156" s="9" t="inlineStr"/>
      <c r="H156" s="9" t="inlineStr"/>
      <c r="I156" s="9" t="inlineStr"/>
      <c r="J156" s="9" t="inlineStr"/>
      <c r="K156" s="10" t="inlineStr"/>
      <c r="L156" s="9" t="inlineStr"/>
    </row>
    <row r="157">
      <c r="A157" s="9" t="inlineStr"/>
      <c r="B157" s="9" t="inlineStr"/>
      <c r="C157" s="9" t="inlineStr"/>
      <c r="D157" s="10" t="inlineStr"/>
      <c r="E157" s="11" t="inlineStr"/>
      <c r="F157" s="9" t="inlineStr"/>
      <c r="G157" s="9" t="inlineStr"/>
      <c r="H157" s="9" t="inlineStr"/>
      <c r="I157" s="9" t="inlineStr"/>
      <c r="J157" s="9" t="inlineStr"/>
      <c r="K157" s="10" t="inlineStr"/>
      <c r="L157" s="9" t="inlineStr"/>
    </row>
    <row r="158">
      <c r="A158" s="9" t="inlineStr"/>
      <c r="B158" s="9" t="inlineStr"/>
      <c r="C158" s="9" t="inlineStr"/>
      <c r="D158" s="10" t="inlineStr"/>
      <c r="E158" s="11" t="inlineStr"/>
      <c r="F158" s="9" t="inlineStr"/>
      <c r="G158" s="9" t="inlineStr"/>
      <c r="H158" s="9" t="inlineStr"/>
      <c r="I158" s="9" t="inlineStr"/>
      <c r="J158" s="9" t="inlineStr"/>
      <c r="K158" s="10" t="inlineStr"/>
      <c r="L158" s="9" t="inlineStr"/>
    </row>
    <row r="159">
      <c r="A159" s="9" t="inlineStr"/>
      <c r="B159" s="9" t="inlineStr"/>
      <c r="C159" s="9" t="inlineStr"/>
      <c r="D159" s="10" t="inlineStr"/>
      <c r="E159" s="11" t="inlineStr"/>
      <c r="F159" s="9" t="inlineStr"/>
      <c r="G159" s="9" t="inlineStr"/>
      <c r="H159" s="9" t="inlineStr"/>
      <c r="I159" s="9" t="inlineStr"/>
      <c r="J159" s="9" t="inlineStr"/>
      <c r="K159" s="10" t="inlineStr"/>
      <c r="L159" s="9" t="inlineStr"/>
    </row>
    <row r="160">
      <c r="A160" s="9" t="inlineStr"/>
      <c r="B160" s="9" t="inlineStr"/>
      <c r="C160" s="9" t="inlineStr"/>
      <c r="D160" s="10" t="inlineStr"/>
      <c r="E160" s="11" t="inlineStr"/>
      <c r="F160" s="9" t="inlineStr"/>
      <c r="G160" s="9" t="inlineStr"/>
      <c r="H160" s="9" t="inlineStr"/>
      <c r="I160" s="9" t="inlineStr"/>
      <c r="J160" s="9" t="inlineStr"/>
      <c r="K160" s="10" t="inlineStr"/>
      <c r="L160" s="9" t="inlineStr"/>
    </row>
    <row r="161">
      <c r="A161" s="9" t="inlineStr"/>
      <c r="B161" s="9" t="inlineStr"/>
      <c r="C161" s="9" t="inlineStr"/>
      <c r="D161" s="10" t="inlineStr"/>
      <c r="E161" s="11" t="inlineStr"/>
      <c r="F161" s="9" t="inlineStr"/>
      <c r="G161" s="9" t="inlineStr"/>
      <c r="H161" s="9" t="inlineStr"/>
      <c r="I161" s="9" t="inlineStr"/>
      <c r="J161" s="9" t="inlineStr"/>
      <c r="K161" s="10" t="inlineStr"/>
      <c r="L161" s="9" t="inlineStr"/>
    </row>
    <row r="162">
      <c r="A162" s="9" t="inlineStr"/>
      <c r="B162" s="9" t="inlineStr"/>
      <c r="C162" s="9" t="inlineStr"/>
      <c r="D162" s="10" t="inlineStr"/>
      <c r="E162" s="11" t="inlineStr"/>
      <c r="F162" s="9" t="inlineStr"/>
      <c r="G162" s="9" t="inlineStr"/>
      <c r="H162" s="9" t="inlineStr"/>
      <c r="I162" s="9" t="inlineStr"/>
      <c r="J162" s="9" t="inlineStr"/>
      <c r="K162" s="10" t="inlineStr"/>
      <c r="L162" s="9" t="inlineStr"/>
    </row>
    <row r="163">
      <c r="A163" s="9" t="inlineStr"/>
      <c r="B163" s="9" t="inlineStr"/>
      <c r="C163" s="9" t="inlineStr"/>
      <c r="D163" s="10" t="inlineStr"/>
      <c r="E163" s="11" t="inlineStr"/>
      <c r="F163" s="9" t="inlineStr"/>
      <c r="G163" s="9" t="inlineStr"/>
      <c r="H163" s="9" t="inlineStr"/>
      <c r="I163" s="9" t="inlineStr"/>
      <c r="J163" s="9" t="inlineStr"/>
      <c r="K163" s="10" t="inlineStr"/>
      <c r="L163" s="9" t="inlineStr"/>
    </row>
    <row r="164">
      <c r="A164" s="9" t="inlineStr"/>
      <c r="B164" s="9" t="inlineStr"/>
      <c r="C164" s="9" t="inlineStr"/>
      <c r="D164" s="10" t="inlineStr"/>
      <c r="E164" s="11" t="inlineStr"/>
      <c r="F164" s="9" t="inlineStr"/>
      <c r="G164" s="9" t="inlineStr"/>
      <c r="H164" s="9" t="inlineStr"/>
      <c r="I164" s="9" t="inlineStr"/>
      <c r="J164" s="9" t="inlineStr"/>
      <c r="K164" s="10" t="inlineStr"/>
      <c r="L164" s="9" t="inlineStr"/>
    </row>
    <row r="165">
      <c r="A165" s="9" t="inlineStr"/>
      <c r="B165" s="9" t="inlineStr"/>
      <c r="C165" s="9" t="inlineStr"/>
      <c r="D165" s="10" t="inlineStr"/>
      <c r="E165" s="11" t="inlineStr"/>
      <c r="F165" s="9" t="inlineStr"/>
      <c r="G165" s="9" t="inlineStr"/>
      <c r="H165" s="9" t="inlineStr"/>
      <c r="I165" s="9" t="inlineStr"/>
      <c r="J165" s="9" t="inlineStr"/>
      <c r="K165" s="10" t="inlineStr"/>
      <c r="L165" s="9" t="inlineStr"/>
    </row>
    <row r="166">
      <c r="A166" s="9" t="inlineStr"/>
      <c r="B166" s="9" t="inlineStr"/>
      <c r="C166" s="9" t="inlineStr"/>
      <c r="D166" s="10" t="inlineStr"/>
      <c r="E166" s="11" t="inlineStr"/>
      <c r="F166" s="9" t="inlineStr"/>
      <c r="G166" s="9" t="inlineStr"/>
      <c r="H166" s="9" t="inlineStr"/>
      <c r="I166" s="9" t="inlineStr"/>
      <c r="J166" s="9" t="inlineStr"/>
      <c r="K166" s="10" t="inlineStr"/>
      <c r="L166" s="9" t="inlineStr"/>
    </row>
    <row r="167">
      <c r="A167" s="9" t="inlineStr"/>
      <c r="B167" s="9" t="inlineStr"/>
      <c r="C167" s="9" t="inlineStr"/>
      <c r="D167" s="10" t="inlineStr"/>
      <c r="E167" s="11" t="inlineStr"/>
      <c r="F167" s="9" t="inlineStr"/>
      <c r="G167" s="9" t="inlineStr"/>
      <c r="H167" s="9" t="inlineStr"/>
      <c r="I167" s="9" t="inlineStr"/>
      <c r="J167" s="9" t="inlineStr"/>
      <c r="K167" s="10" t="inlineStr"/>
      <c r="L167" s="9" t="inlineStr"/>
    </row>
    <row r="168">
      <c r="A168" s="9" t="inlineStr"/>
      <c r="B168" s="9" t="inlineStr"/>
      <c r="C168" s="9" t="inlineStr"/>
      <c r="D168" s="10" t="inlineStr"/>
      <c r="E168" s="11" t="inlineStr"/>
      <c r="F168" s="9" t="inlineStr"/>
      <c r="G168" s="9" t="inlineStr"/>
      <c r="H168" s="9" t="inlineStr"/>
      <c r="I168" s="9" t="inlineStr"/>
      <c r="J168" s="9" t="inlineStr"/>
      <c r="K168" s="10" t="inlineStr"/>
      <c r="L168" s="9" t="inlineStr"/>
    </row>
    <row r="169">
      <c r="A169" s="9" t="inlineStr"/>
      <c r="B169" s="9" t="inlineStr"/>
      <c r="C169" s="9" t="inlineStr"/>
      <c r="D169" s="10" t="inlineStr"/>
      <c r="E169" s="11" t="inlineStr"/>
      <c r="F169" s="9" t="inlineStr"/>
      <c r="G169" s="9" t="inlineStr"/>
      <c r="H169" s="9" t="inlineStr"/>
      <c r="I169" s="9" t="inlineStr"/>
      <c r="J169" s="9" t="inlineStr"/>
      <c r="K169" s="10" t="inlineStr"/>
      <c r="L169" s="9" t="inlineStr"/>
    </row>
    <row r="170">
      <c r="A170" s="9" t="inlineStr"/>
      <c r="B170" s="9" t="inlineStr"/>
      <c r="C170" s="9" t="inlineStr"/>
      <c r="D170" s="10" t="inlineStr"/>
      <c r="E170" s="11" t="inlineStr"/>
      <c r="F170" s="9" t="inlineStr"/>
      <c r="G170" s="9" t="inlineStr"/>
      <c r="H170" s="9" t="inlineStr"/>
      <c r="I170" s="9" t="inlineStr"/>
      <c r="J170" s="9" t="inlineStr"/>
      <c r="K170" s="10" t="inlineStr"/>
      <c r="L170" s="9" t="inlineStr"/>
    </row>
    <row r="171">
      <c r="A171" s="9" t="inlineStr"/>
      <c r="B171" s="9" t="inlineStr"/>
      <c r="C171" s="9" t="inlineStr"/>
      <c r="D171" s="10" t="inlineStr"/>
      <c r="E171" s="11" t="inlineStr"/>
      <c r="F171" s="9" t="inlineStr"/>
      <c r="G171" s="9" t="inlineStr"/>
      <c r="H171" s="9" t="inlineStr"/>
      <c r="I171" s="9" t="inlineStr"/>
      <c r="J171" s="9" t="inlineStr"/>
      <c r="K171" s="10" t="inlineStr"/>
      <c r="L171" s="9" t="inlineStr"/>
    </row>
    <row r="172">
      <c r="A172" s="9" t="inlineStr"/>
      <c r="B172" s="9" t="inlineStr"/>
      <c r="C172" s="9" t="inlineStr"/>
      <c r="D172" s="10" t="inlineStr"/>
      <c r="E172" s="11" t="inlineStr"/>
      <c r="F172" s="9" t="inlineStr"/>
      <c r="G172" s="9" t="inlineStr"/>
      <c r="H172" s="9" t="inlineStr"/>
      <c r="I172" s="9" t="inlineStr"/>
      <c r="J172" s="9" t="inlineStr"/>
      <c r="K172" s="10" t="inlineStr"/>
      <c r="L172" s="9" t="inlineStr"/>
    </row>
    <row r="173">
      <c r="A173" s="9" t="inlineStr"/>
      <c r="B173" s="9" t="inlineStr"/>
      <c r="C173" s="9" t="inlineStr"/>
      <c r="D173" s="10" t="inlineStr"/>
      <c r="E173" s="11" t="inlineStr"/>
      <c r="F173" s="9" t="inlineStr"/>
      <c r="G173" s="9" t="inlineStr"/>
      <c r="H173" s="9" t="inlineStr"/>
      <c r="I173" s="9" t="inlineStr"/>
      <c r="J173" s="9" t="inlineStr"/>
      <c r="K173" s="10" t="inlineStr"/>
      <c r="L173" s="9" t="inlineStr"/>
    </row>
    <row r="174">
      <c r="A174" s="9" t="inlineStr"/>
      <c r="B174" s="9" t="inlineStr"/>
      <c r="C174" s="9" t="inlineStr"/>
      <c r="D174" s="10" t="inlineStr"/>
      <c r="E174" s="11" t="inlineStr"/>
      <c r="F174" s="9" t="inlineStr"/>
      <c r="G174" s="9" t="inlineStr"/>
      <c r="H174" s="9" t="inlineStr"/>
      <c r="I174" s="9" t="inlineStr"/>
      <c r="J174" s="9" t="inlineStr"/>
      <c r="K174" s="10" t="inlineStr"/>
      <c r="L174" s="9" t="inlineStr"/>
    </row>
    <row r="175">
      <c r="A175" s="9" t="inlineStr"/>
      <c r="B175" s="9" t="inlineStr"/>
      <c r="C175" s="9" t="inlineStr"/>
      <c r="D175" s="10" t="inlineStr"/>
      <c r="E175" s="11" t="inlineStr"/>
      <c r="F175" s="9" t="inlineStr"/>
      <c r="G175" s="9" t="inlineStr"/>
      <c r="H175" s="9" t="inlineStr"/>
      <c r="I175" s="9" t="inlineStr"/>
      <c r="J175" s="9" t="inlineStr"/>
      <c r="K175" s="10" t="inlineStr"/>
      <c r="L175" s="9" t="inlineStr"/>
    </row>
    <row r="176">
      <c r="A176" s="9" t="inlineStr"/>
      <c r="B176" s="9" t="inlineStr"/>
      <c r="C176" s="9" t="inlineStr"/>
      <c r="D176" s="10" t="inlineStr"/>
      <c r="E176" s="11" t="inlineStr"/>
      <c r="F176" s="9" t="inlineStr"/>
      <c r="G176" s="9" t="inlineStr"/>
      <c r="H176" s="9" t="inlineStr"/>
      <c r="I176" s="9" t="inlineStr"/>
      <c r="J176" s="9" t="inlineStr"/>
      <c r="K176" s="10" t="inlineStr"/>
      <c r="L176" s="9" t="inlineStr"/>
    </row>
    <row r="177">
      <c r="A177" s="9" t="inlineStr"/>
      <c r="B177" s="9" t="inlineStr"/>
      <c r="C177" s="9" t="inlineStr"/>
      <c r="D177" s="10" t="inlineStr"/>
      <c r="E177" s="11" t="inlineStr"/>
      <c r="F177" s="9" t="inlineStr"/>
      <c r="G177" s="9" t="inlineStr"/>
      <c r="H177" s="9" t="inlineStr"/>
      <c r="I177" s="9" t="inlineStr"/>
      <c r="J177" s="9" t="inlineStr"/>
      <c r="K177" s="10" t="inlineStr"/>
      <c r="L177" s="9" t="inlineStr"/>
    </row>
    <row r="178">
      <c r="A178" s="9" t="inlineStr"/>
      <c r="B178" s="9" t="inlineStr"/>
      <c r="C178" s="9" t="inlineStr"/>
      <c r="D178" s="10" t="inlineStr"/>
      <c r="E178" s="11" t="inlineStr"/>
      <c r="F178" s="9" t="inlineStr"/>
      <c r="G178" s="9" t="inlineStr"/>
      <c r="H178" s="9" t="inlineStr"/>
      <c r="I178" s="9" t="inlineStr"/>
      <c r="J178" s="9" t="inlineStr"/>
      <c r="K178" s="10" t="inlineStr"/>
      <c r="L178" s="9" t="inlineStr"/>
    </row>
    <row r="179">
      <c r="A179" s="9" t="inlineStr"/>
      <c r="B179" s="9" t="inlineStr"/>
      <c r="C179" s="9" t="inlineStr"/>
      <c r="D179" s="10" t="inlineStr"/>
      <c r="E179" s="11" t="inlineStr"/>
      <c r="F179" s="9" t="inlineStr"/>
      <c r="G179" s="9" t="inlineStr"/>
      <c r="H179" s="9" t="inlineStr"/>
      <c r="I179" s="9" t="inlineStr"/>
      <c r="J179" s="9" t="inlineStr"/>
      <c r="K179" s="10" t="inlineStr"/>
      <c r="L179" s="9" t="inlineStr"/>
    </row>
    <row r="180">
      <c r="A180" s="9" t="inlineStr"/>
      <c r="B180" s="9" t="inlineStr"/>
      <c r="C180" s="9" t="inlineStr"/>
      <c r="D180" s="10" t="inlineStr"/>
      <c r="E180" s="11" t="inlineStr"/>
      <c r="F180" s="9" t="inlineStr"/>
      <c r="G180" s="9" t="inlineStr"/>
      <c r="H180" s="9" t="inlineStr"/>
      <c r="I180" s="9" t="inlineStr"/>
      <c r="J180" s="9" t="inlineStr"/>
      <c r="K180" s="10" t="inlineStr"/>
      <c r="L180" s="9" t="inlineStr"/>
    </row>
    <row r="181">
      <c r="A181" s="9" t="inlineStr"/>
      <c r="B181" s="9" t="inlineStr"/>
      <c r="C181" s="9" t="inlineStr"/>
      <c r="D181" s="10" t="inlineStr"/>
      <c r="E181" s="11" t="inlineStr"/>
      <c r="F181" s="9" t="inlineStr"/>
      <c r="G181" s="9" t="inlineStr"/>
      <c r="H181" s="9" t="inlineStr"/>
      <c r="I181" s="9" t="inlineStr"/>
      <c r="J181" s="9" t="inlineStr"/>
      <c r="K181" s="10" t="inlineStr"/>
      <c r="L181" s="9" t="inlineStr"/>
    </row>
    <row r="182">
      <c r="A182" s="9" t="inlineStr"/>
      <c r="B182" s="9" t="inlineStr"/>
      <c r="C182" s="9" t="inlineStr"/>
      <c r="D182" s="10" t="inlineStr"/>
      <c r="E182" s="11" t="inlineStr"/>
      <c r="F182" s="9" t="inlineStr"/>
      <c r="G182" s="9" t="inlineStr"/>
      <c r="H182" s="9" t="inlineStr"/>
      <c r="I182" s="9" t="inlineStr"/>
      <c r="J182" s="9" t="inlineStr"/>
      <c r="K182" s="10" t="inlineStr"/>
      <c r="L182" s="9" t="inlineStr"/>
    </row>
    <row r="183">
      <c r="A183" s="9" t="inlineStr"/>
      <c r="B183" s="9" t="inlineStr"/>
      <c r="C183" s="9" t="inlineStr"/>
      <c r="D183" s="10" t="inlineStr"/>
      <c r="E183" s="11" t="inlineStr"/>
      <c r="F183" s="9" t="inlineStr"/>
      <c r="G183" s="9" t="inlineStr"/>
      <c r="H183" s="9" t="inlineStr"/>
      <c r="I183" s="9" t="inlineStr"/>
      <c r="J183" s="9" t="inlineStr"/>
      <c r="K183" s="10" t="inlineStr"/>
      <c r="L183" s="9" t="inlineStr"/>
    </row>
    <row r="184">
      <c r="A184" s="9" t="inlineStr"/>
      <c r="B184" s="9" t="inlineStr"/>
      <c r="C184" s="9" t="inlineStr"/>
      <c r="D184" s="10" t="inlineStr"/>
      <c r="E184" s="11" t="inlineStr"/>
      <c r="F184" s="9" t="inlineStr"/>
      <c r="G184" s="9" t="inlineStr"/>
      <c r="H184" s="9" t="inlineStr"/>
      <c r="I184" s="9" t="inlineStr"/>
      <c r="J184" s="9" t="inlineStr"/>
      <c r="K184" s="10" t="inlineStr"/>
      <c r="L184" s="9" t="inlineStr"/>
    </row>
    <row r="185">
      <c r="A185" s="9" t="inlineStr"/>
      <c r="B185" s="9" t="inlineStr"/>
      <c r="C185" s="9" t="inlineStr"/>
      <c r="D185" s="10" t="inlineStr"/>
      <c r="E185" s="11" t="inlineStr"/>
      <c r="F185" s="9" t="inlineStr"/>
      <c r="G185" s="9" t="inlineStr"/>
      <c r="H185" s="9" t="inlineStr"/>
      <c r="I185" s="9" t="inlineStr"/>
      <c r="J185" s="9" t="inlineStr"/>
      <c r="K185" s="10" t="inlineStr"/>
      <c r="L185" s="9" t="inlineStr"/>
    </row>
    <row r="186">
      <c r="A186" s="9" t="inlineStr"/>
      <c r="B186" s="9" t="inlineStr"/>
      <c r="C186" s="9" t="inlineStr"/>
      <c r="D186" s="10" t="inlineStr"/>
      <c r="E186" s="11" t="inlineStr"/>
      <c r="F186" s="9" t="inlineStr"/>
      <c r="G186" s="9" t="inlineStr"/>
      <c r="H186" s="9" t="inlineStr"/>
      <c r="I186" s="9" t="inlineStr"/>
      <c r="J186" s="9" t="inlineStr"/>
      <c r="K186" s="10" t="inlineStr"/>
      <c r="L186" s="9" t="inlineStr"/>
    </row>
    <row r="187">
      <c r="A187" s="9" t="inlineStr"/>
      <c r="B187" s="9" t="inlineStr"/>
      <c r="C187" s="9" t="inlineStr"/>
      <c r="D187" s="10" t="inlineStr"/>
      <c r="E187" s="11" t="inlineStr"/>
      <c r="F187" s="9" t="inlineStr"/>
      <c r="G187" s="9" t="inlineStr"/>
      <c r="H187" s="9" t="inlineStr"/>
      <c r="I187" s="9" t="inlineStr"/>
      <c r="J187" s="9" t="inlineStr"/>
      <c r="K187" s="10" t="inlineStr"/>
      <c r="L187" s="9" t="inlineStr"/>
    </row>
    <row r="188">
      <c r="A188" s="9" t="inlineStr"/>
      <c r="B188" s="9" t="inlineStr"/>
      <c r="C188" s="9" t="inlineStr"/>
      <c r="D188" s="10" t="inlineStr"/>
      <c r="E188" s="11" t="inlineStr"/>
      <c r="F188" s="9" t="inlineStr"/>
      <c r="G188" s="9" t="inlineStr"/>
      <c r="H188" s="9" t="inlineStr"/>
      <c r="I188" s="9" t="inlineStr"/>
      <c r="J188" s="9" t="inlineStr"/>
      <c r="K188" s="10" t="inlineStr"/>
      <c r="L188" s="9" t="inlineStr"/>
    </row>
    <row r="189">
      <c r="A189" s="9" t="inlineStr"/>
      <c r="B189" s="9" t="inlineStr"/>
      <c r="C189" s="9" t="inlineStr"/>
      <c r="D189" s="10" t="inlineStr"/>
      <c r="E189" s="11" t="inlineStr"/>
      <c r="F189" s="9" t="inlineStr"/>
      <c r="G189" s="9" t="inlineStr"/>
      <c r="H189" s="9" t="inlineStr"/>
      <c r="I189" s="9" t="inlineStr"/>
      <c r="J189" s="9" t="inlineStr"/>
      <c r="K189" s="10" t="inlineStr"/>
      <c r="L189" s="9" t="inlineStr"/>
    </row>
    <row r="190">
      <c r="A190" s="9" t="inlineStr"/>
      <c r="B190" s="9" t="inlineStr"/>
      <c r="C190" s="9" t="inlineStr"/>
      <c r="D190" s="10" t="inlineStr"/>
      <c r="E190" s="11" t="inlineStr"/>
      <c r="F190" s="9" t="inlineStr"/>
      <c r="G190" s="9" t="inlineStr"/>
      <c r="H190" s="9" t="inlineStr"/>
      <c r="I190" s="9" t="inlineStr"/>
      <c r="J190" s="9" t="inlineStr"/>
      <c r="K190" s="10" t="inlineStr"/>
      <c r="L190" s="9" t="inlineStr"/>
    </row>
    <row r="191">
      <c r="A191" s="9" t="inlineStr"/>
      <c r="B191" s="9" t="inlineStr"/>
      <c r="C191" s="9" t="inlineStr"/>
      <c r="D191" s="10" t="inlineStr"/>
      <c r="E191" s="11" t="inlineStr"/>
      <c r="F191" s="9" t="inlineStr"/>
      <c r="G191" s="9" t="inlineStr"/>
      <c r="H191" s="9" t="inlineStr"/>
      <c r="I191" s="9" t="inlineStr"/>
      <c r="J191" s="9" t="inlineStr"/>
      <c r="K191" s="10" t="inlineStr"/>
      <c r="L191" s="9" t="inlineStr"/>
    </row>
    <row r="192">
      <c r="A192" s="9" t="inlineStr"/>
      <c r="B192" s="9" t="inlineStr"/>
      <c r="C192" s="9" t="inlineStr"/>
      <c r="D192" s="10" t="inlineStr"/>
      <c r="E192" s="11" t="inlineStr"/>
      <c r="F192" s="9" t="inlineStr"/>
      <c r="G192" s="9" t="inlineStr"/>
      <c r="H192" s="9" t="inlineStr"/>
      <c r="I192" s="9" t="inlineStr"/>
      <c r="J192" s="9" t="inlineStr"/>
      <c r="K192" s="10" t="inlineStr"/>
      <c r="L192" s="9" t="inlineStr"/>
    </row>
    <row r="193">
      <c r="A193" s="9" t="inlineStr"/>
      <c r="B193" s="9" t="inlineStr"/>
      <c r="C193" s="9" t="inlineStr"/>
      <c r="D193" s="10" t="inlineStr"/>
      <c r="E193" s="11" t="inlineStr"/>
      <c r="F193" s="9" t="inlineStr"/>
      <c r="G193" s="9" t="inlineStr"/>
      <c r="H193" s="9" t="inlineStr"/>
      <c r="I193" s="9" t="inlineStr"/>
      <c r="J193" s="9" t="inlineStr"/>
      <c r="K193" s="10" t="inlineStr"/>
      <c r="L193" s="9" t="inlineStr"/>
    </row>
    <row r="194">
      <c r="A194" s="9" t="inlineStr"/>
      <c r="B194" s="9" t="inlineStr"/>
      <c r="C194" s="9" t="inlineStr"/>
      <c r="D194" s="10" t="inlineStr"/>
      <c r="E194" s="11" t="inlineStr"/>
      <c r="F194" s="9" t="inlineStr"/>
      <c r="G194" s="9" t="inlineStr"/>
      <c r="H194" s="9" t="inlineStr"/>
      <c r="I194" s="9" t="inlineStr"/>
      <c r="J194" s="9" t="inlineStr"/>
      <c r="K194" s="10" t="inlineStr"/>
      <c r="L194" s="9" t="inlineStr"/>
    </row>
    <row r="195">
      <c r="A195" s="9" t="inlineStr"/>
      <c r="B195" s="9" t="inlineStr"/>
      <c r="C195" s="9" t="inlineStr"/>
      <c r="D195" s="10" t="inlineStr"/>
      <c r="E195" s="11" t="inlineStr"/>
      <c r="F195" s="9" t="inlineStr"/>
      <c r="G195" s="9" t="inlineStr"/>
      <c r="H195" s="9" t="inlineStr"/>
      <c r="I195" s="9" t="inlineStr"/>
      <c r="J195" s="9" t="inlineStr"/>
      <c r="K195" s="10" t="inlineStr"/>
      <c r="L195" s="9" t="inlineStr"/>
    </row>
    <row r="196">
      <c r="A196" s="9" t="inlineStr"/>
      <c r="B196" s="9" t="inlineStr"/>
      <c r="C196" s="9" t="inlineStr"/>
      <c r="D196" s="10" t="inlineStr"/>
      <c r="E196" s="11" t="inlineStr"/>
      <c r="F196" s="9" t="inlineStr"/>
      <c r="G196" s="9" t="inlineStr"/>
      <c r="H196" s="9" t="inlineStr"/>
      <c r="I196" s="9" t="inlineStr"/>
      <c r="J196" s="9" t="inlineStr"/>
      <c r="K196" s="10" t="inlineStr"/>
      <c r="L196" s="9" t="inlineStr"/>
    </row>
    <row r="197">
      <c r="A197" s="9" t="inlineStr"/>
      <c r="B197" s="9" t="inlineStr"/>
      <c r="C197" s="9" t="inlineStr"/>
      <c r="D197" s="10" t="inlineStr"/>
      <c r="E197" s="11" t="inlineStr"/>
      <c r="F197" s="9" t="inlineStr"/>
      <c r="G197" s="9" t="inlineStr"/>
      <c r="H197" s="9" t="inlineStr"/>
      <c r="I197" s="9" t="inlineStr"/>
      <c r="J197" s="9" t="inlineStr"/>
      <c r="K197" s="10" t="inlineStr"/>
      <c r="L197" s="9" t="inlineStr"/>
    </row>
    <row r="198">
      <c r="A198" s="9" t="inlineStr"/>
      <c r="B198" s="9" t="inlineStr"/>
      <c r="C198" s="9" t="inlineStr"/>
      <c r="D198" s="10" t="inlineStr"/>
      <c r="E198" s="11" t="inlineStr"/>
      <c r="F198" s="9" t="inlineStr"/>
      <c r="G198" s="9" t="inlineStr"/>
      <c r="H198" s="9" t="inlineStr"/>
      <c r="I198" s="9" t="inlineStr"/>
      <c r="J198" s="9" t="inlineStr"/>
      <c r="K198" s="10" t="inlineStr"/>
      <c r="L198" s="9" t="inlineStr"/>
    </row>
    <row r="199">
      <c r="A199" s="9" t="inlineStr"/>
      <c r="B199" s="9" t="inlineStr"/>
      <c r="C199" s="9" t="inlineStr"/>
      <c r="D199" s="10" t="inlineStr"/>
      <c r="E199" s="11" t="inlineStr"/>
      <c r="F199" s="9" t="inlineStr"/>
      <c r="G199" s="9" t="inlineStr"/>
      <c r="H199" s="9" t="inlineStr"/>
      <c r="I199" s="9" t="inlineStr"/>
      <c r="J199" s="9" t="inlineStr"/>
      <c r="K199" s="10" t="inlineStr"/>
      <c r="L199" s="9" t="inlineStr"/>
    </row>
    <row r="200">
      <c r="A200" s="9" t="inlineStr"/>
      <c r="B200" s="9" t="inlineStr"/>
      <c r="C200" s="9" t="inlineStr"/>
      <c r="D200" s="10" t="inlineStr"/>
      <c r="E200" s="11" t="inlineStr"/>
      <c r="F200" s="9" t="inlineStr"/>
      <c r="G200" s="9" t="inlineStr"/>
      <c r="H200" s="9" t="inlineStr"/>
      <c r="I200" s="9" t="inlineStr"/>
      <c r="J200" s="9" t="inlineStr"/>
      <c r="K200" s="10" t="inlineStr"/>
      <c r="L200" s="9" t="inlineStr"/>
    </row>
  </sheetData>
  <dataValidations count="2">
    <dataValidation sqref="A2:A200" showDropDown="0" showInputMessage="0" showErrorMessage="0" allowBlank="1" type="list">
      <formula1>'تنظیمات'!$A$3:$A$7</formula1>
    </dataValidation>
    <dataValidation sqref="I2:I200" showDropDown="0" showInputMessage="0" showErrorMessage="0" allowBlank="1" type="list">
      <formula1>'تنظیمات'!$B$2:$B$6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  <col width="20" customWidth="1" min="4" max="4"/>
    <col width="20" customWidth="1" min="5" max="5"/>
    <col width="35" customWidth="1" min="6" max="6"/>
    <col width="18" customWidth="1" min="7" max="7"/>
    <col width="35" customWidth="1" min="8" max="8"/>
  </cols>
  <sheetData>
    <row r="1">
      <c r="A1" s="8" t="inlineStr">
        <is>
          <t>شرکت</t>
        </is>
      </c>
      <c r="B1" s="8" t="inlineStr">
        <is>
          <t>سامانه/موضوع</t>
        </is>
      </c>
      <c r="C1" s="8" t="inlineStr">
        <is>
          <t>آدرس سایت</t>
        </is>
      </c>
      <c r="D1" s="8" t="inlineStr">
        <is>
          <t>نام کاربری</t>
        </is>
      </c>
      <c r="E1" s="8" t="inlineStr">
        <is>
          <t>شناسه/کد مرتبط</t>
        </is>
      </c>
      <c r="F1" s="8" t="inlineStr">
        <is>
          <t>رمز عبور</t>
        </is>
      </c>
      <c r="G1" s="8" t="inlineStr">
        <is>
          <t>تاریخ آخرین کنترل</t>
        </is>
      </c>
      <c r="H1" s="8" t="inlineStr">
        <is>
          <t>توضیحات</t>
        </is>
      </c>
    </row>
    <row r="2">
      <c r="A2" s="9" t="inlineStr">
        <is>
          <t>موسسه شهر کتاب مرکزی</t>
        </is>
      </c>
      <c r="B2" s="9" t="inlineStr">
        <is>
          <t>سامانه مؤدیان/مالیات</t>
        </is>
      </c>
      <c r="C2" s="9" t="inlineStr">
        <is>
          <t>https://my.tax.gov.ir</t>
        </is>
      </c>
      <c r="D2" s="9" t="inlineStr"/>
      <c r="E2" s="9" t="inlineStr"/>
      <c r="F2" s="9" t="inlineStr">
        <is>
          <t>ترجیحاً رمز واقعی را اینجا ذخیره نکنید</t>
        </is>
      </c>
      <c r="G2" s="10" t="n"/>
      <c r="H2" s="9" t="inlineStr"/>
    </row>
    <row r="3">
      <c r="A3" s="9" t="inlineStr">
        <is>
          <t>موسسه شهر کتاب مرکزی</t>
        </is>
      </c>
      <c r="B3" s="9" t="inlineStr">
        <is>
          <t>مالیات حقوق</t>
        </is>
      </c>
      <c r="C3" s="9" t="inlineStr">
        <is>
          <t>https://salary.tax.gov.ir</t>
        </is>
      </c>
      <c r="D3" s="9" t="inlineStr"/>
      <c r="E3" s="9" t="inlineStr"/>
      <c r="F3" s="9" t="inlineStr">
        <is>
          <t>ترجیحاً رمز واقعی را اینجا ذخیره نکنید</t>
        </is>
      </c>
      <c r="G3" s="10" t="n"/>
      <c r="H3" s="9" t="inlineStr"/>
    </row>
    <row r="4">
      <c r="A4" s="9" t="inlineStr">
        <is>
          <t>موسسه شهر کتاب مرکزی</t>
        </is>
      </c>
      <c r="B4" s="9" t="inlineStr">
        <is>
          <t>تأمین اجتماعی</t>
        </is>
      </c>
      <c r="C4" s="9" t="inlineStr">
        <is>
          <t>https://eservices.tamin.ir</t>
        </is>
      </c>
      <c r="D4" s="9" t="inlineStr"/>
      <c r="E4" s="9" t="inlineStr"/>
      <c r="F4" s="9" t="inlineStr">
        <is>
          <t>ترجیحاً رمز واقعی را اینجا ذخیره نکنید</t>
        </is>
      </c>
      <c r="G4" s="10" t="n"/>
      <c r="H4" s="9" t="inlineStr"/>
    </row>
    <row r="5">
      <c r="A5" s="9" t="inlineStr">
        <is>
          <t>موسسه شهر کتاب مرکزی</t>
        </is>
      </c>
      <c r="B5" s="9" t="inlineStr">
        <is>
          <t>ارزش افزوده</t>
        </is>
      </c>
      <c r="C5" s="9" t="inlineStr">
        <is>
          <t>https://my.tax.gov.ir</t>
        </is>
      </c>
      <c r="D5" s="9" t="inlineStr"/>
      <c r="E5" s="9" t="inlineStr"/>
      <c r="F5" s="9" t="inlineStr">
        <is>
          <t>ترجیحاً رمز واقعی را اینجا ذخیره نکنید</t>
        </is>
      </c>
      <c r="G5" s="10" t="n"/>
      <c r="H5" s="9" t="inlineStr"/>
    </row>
    <row r="6">
      <c r="A6" s="9" t="inlineStr">
        <is>
          <t>موسسه شهر کتاب مرکزی</t>
        </is>
      </c>
      <c r="B6" s="9" t="inlineStr">
        <is>
          <t>نرم‌افزار حسابداری</t>
        </is>
      </c>
      <c r="C6" s="9" t="inlineStr"/>
      <c r="D6" s="9" t="inlineStr"/>
      <c r="E6" s="9" t="inlineStr"/>
      <c r="F6" s="9" t="inlineStr">
        <is>
          <t>ترجیحاً رمز واقعی را اینجا ذخیره نکنید</t>
        </is>
      </c>
      <c r="G6" s="10" t="n"/>
      <c r="H6" s="9" t="inlineStr"/>
    </row>
    <row r="7">
      <c r="A7" s="9" t="inlineStr">
        <is>
          <t>فروشگاه شهر کتاب مرکزی</t>
        </is>
      </c>
      <c r="B7" s="9" t="inlineStr">
        <is>
          <t>سامانه مؤدیان/مالیات</t>
        </is>
      </c>
      <c r="C7" s="9" t="inlineStr">
        <is>
          <t>https://my.tax.gov.ir</t>
        </is>
      </c>
      <c r="D7" s="9" t="inlineStr"/>
      <c r="E7" s="9" t="inlineStr"/>
      <c r="F7" s="9" t="inlineStr">
        <is>
          <t>ترجیحاً رمز واقعی را اینجا ذخیره نکنید</t>
        </is>
      </c>
      <c r="G7" s="10" t="n"/>
      <c r="H7" s="9" t="inlineStr"/>
    </row>
    <row r="8">
      <c r="A8" s="9" t="inlineStr">
        <is>
          <t>فروشگاه شهر کتاب مرکزی</t>
        </is>
      </c>
      <c r="B8" s="9" t="inlineStr">
        <is>
          <t>مالیات حقوق</t>
        </is>
      </c>
      <c r="C8" s="9" t="inlineStr">
        <is>
          <t>https://salary.tax.gov.ir</t>
        </is>
      </c>
      <c r="D8" s="9" t="inlineStr"/>
      <c r="E8" s="9" t="inlineStr"/>
      <c r="F8" s="9" t="inlineStr">
        <is>
          <t>ترجیحاً رمز واقعی را اینجا ذخیره نکنید</t>
        </is>
      </c>
      <c r="G8" s="10" t="n"/>
      <c r="H8" s="9" t="inlineStr"/>
    </row>
    <row r="9">
      <c r="A9" s="9" t="inlineStr">
        <is>
          <t>فروشگاه شهر کتاب مرکزی</t>
        </is>
      </c>
      <c r="B9" s="9" t="inlineStr">
        <is>
          <t>تأمین اجتماعی</t>
        </is>
      </c>
      <c r="C9" s="9" t="inlineStr">
        <is>
          <t>https://eservices.tamin.ir</t>
        </is>
      </c>
      <c r="D9" s="9" t="inlineStr"/>
      <c r="E9" s="9" t="inlineStr"/>
      <c r="F9" s="9" t="inlineStr">
        <is>
          <t>ترجیحاً رمز واقعی را اینجا ذخیره نکنید</t>
        </is>
      </c>
      <c r="G9" s="10" t="n"/>
      <c r="H9" s="9" t="inlineStr"/>
    </row>
    <row r="10">
      <c r="A10" s="9" t="inlineStr">
        <is>
          <t>فروشگاه شهر کتاب مرکزی</t>
        </is>
      </c>
      <c r="B10" s="9" t="inlineStr">
        <is>
          <t>ارزش افزوده</t>
        </is>
      </c>
      <c r="C10" s="9" t="inlineStr">
        <is>
          <t>https://my.tax.gov.ir</t>
        </is>
      </c>
      <c r="D10" s="9" t="inlineStr"/>
      <c r="E10" s="9" t="inlineStr"/>
      <c r="F10" s="9" t="inlineStr">
        <is>
          <t>ترجیحاً رمز واقعی را اینجا ذخیره نکنید</t>
        </is>
      </c>
      <c r="G10" s="10" t="n"/>
      <c r="H10" s="9" t="inlineStr"/>
    </row>
    <row r="11">
      <c r="A11" s="9" t="inlineStr">
        <is>
          <t>فروشگاه شهر کتاب مرکزی</t>
        </is>
      </c>
      <c r="B11" s="9" t="inlineStr">
        <is>
          <t>نرم‌افزار حسابداری</t>
        </is>
      </c>
      <c r="C11" s="9" t="inlineStr"/>
      <c r="D11" s="9" t="inlineStr"/>
      <c r="E11" s="9" t="inlineStr"/>
      <c r="F11" s="9" t="inlineStr">
        <is>
          <t>ترجیحاً رمز واقعی را اینجا ذخیره نکنید</t>
        </is>
      </c>
      <c r="G11" s="10" t="n"/>
      <c r="H11" s="9" t="inlineStr"/>
    </row>
    <row r="12">
      <c r="A12" s="9" t="inlineStr">
        <is>
          <t>رستگار صنعت پارس</t>
        </is>
      </c>
      <c r="B12" s="9" t="inlineStr">
        <is>
          <t>سامانه مؤدیان/مالیات</t>
        </is>
      </c>
      <c r="C12" s="9" t="inlineStr">
        <is>
          <t>https://my.tax.gov.ir</t>
        </is>
      </c>
      <c r="D12" s="9" t="inlineStr"/>
      <c r="E12" s="9" t="inlineStr"/>
      <c r="F12" s="9" t="inlineStr">
        <is>
          <t>ترجیحاً رمز واقعی را اینجا ذخیره نکنید</t>
        </is>
      </c>
      <c r="G12" s="10" t="n"/>
      <c r="H12" s="9" t="inlineStr"/>
    </row>
    <row r="13">
      <c r="A13" s="9" t="inlineStr">
        <is>
          <t>رستگار صنعت پارس</t>
        </is>
      </c>
      <c r="B13" s="9" t="inlineStr">
        <is>
          <t>مالیات حقوق</t>
        </is>
      </c>
      <c r="C13" s="9" t="inlineStr">
        <is>
          <t>https://salary.tax.gov.ir</t>
        </is>
      </c>
      <c r="D13" s="9" t="inlineStr"/>
      <c r="E13" s="9" t="inlineStr"/>
      <c r="F13" s="9" t="inlineStr">
        <is>
          <t>ترجیحاً رمز واقعی را اینجا ذخیره نکنید</t>
        </is>
      </c>
      <c r="G13" s="10" t="n"/>
      <c r="H13" s="9" t="inlineStr"/>
    </row>
    <row r="14">
      <c r="A14" s="9" t="inlineStr">
        <is>
          <t>رستگار صنعت پارس</t>
        </is>
      </c>
      <c r="B14" s="9" t="inlineStr">
        <is>
          <t>تأمین اجتماعی</t>
        </is>
      </c>
      <c r="C14" s="9" t="inlineStr">
        <is>
          <t>https://eservices.tamin.ir</t>
        </is>
      </c>
      <c r="D14" s="9" t="inlineStr"/>
      <c r="E14" s="9" t="inlineStr"/>
      <c r="F14" s="9" t="inlineStr">
        <is>
          <t>ترجیحاً رمز واقعی را اینجا ذخیره نکنید</t>
        </is>
      </c>
      <c r="G14" s="10" t="n"/>
      <c r="H14" s="9" t="inlineStr"/>
    </row>
    <row r="15">
      <c r="A15" s="9" t="inlineStr">
        <is>
          <t>رستگار صنعت پارس</t>
        </is>
      </c>
      <c r="B15" s="9" t="inlineStr">
        <is>
          <t>ارزش افزوده</t>
        </is>
      </c>
      <c r="C15" s="9" t="inlineStr">
        <is>
          <t>https://my.tax.gov.ir</t>
        </is>
      </c>
      <c r="D15" s="9" t="inlineStr"/>
      <c r="E15" s="9" t="inlineStr"/>
      <c r="F15" s="9" t="inlineStr">
        <is>
          <t>ترجیحاً رمز واقعی را اینجا ذخیره نکنید</t>
        </is>
      </c>
      <c r="G15" s="10" t="n"/>
      <c r="H15" s="9" t="inlineStr"/>
    </row>
    <row r="16">
      <c r="A16" s="9" t="inlineStr">
        <is>
          <t>رستگار صنعت پارس</t>
        </is>
      </c>
      <c r="B16" s="9" t="inlineStr">
        <is>
          <t>نرم‌افزار حسابداری</t>
        </is>
      </c>
      <c r="C16" s="9" t="inlineStr"/>
      <c r="D16" s="9" t="inlineStr"/>
      <c r="E16" s="9" t="inlineStr"/>
      <c r="F16" s="9" t="inlineStr">
        <is>
          <t>ترجیحاً رمز واقعی را اینجا ذخیره نکنید</t>
        </is>
      </c>
      <c r="G16" s="10" t="n"/>
      <c r="H16" s="9" t="inlineStr"/>
    </row>
    <row r="17">
      <c r="A17" s="9" t="inlineStr">
        <is>
          <t>کیوان الکترونیک ایرانیان</t>
        </is>
      </c>
      <c r="B17" s="9" t="inlineStr">
        <is>
          <t>سامانه مؤدیان/مالیات</t>
        </is>
      </c>
      <c r="C17" s="9" t="inlineStr">
        <is>
          <t>https://my.tax.gov.ir</t>
        </is>
      </c>
      <c r="D17" s="9" t="inlineStr"/>
      <c r="E17" s="9" t="inlineStr"/>
      <c r="F17" s="9" t="inlineStr">
        <is>
          <t>ترجیحاً رمز واقعی را اینجا ذخیره نکنید</t>
        </is>
      </c>
      <c r="G17" s="10" t="n"/>
      <c r="H17" s="9" t="inlineStr"/>
    </row>
    <row r="18">
      <c r="A18" s="9" t="inlineStr">
        <is>
          <t>کیوان الکترونیک ایرانیان</t>
        </is>
      </c>
      <c r="B18" s="9" t="inlineStr">
        <is>
          <t>مالیات حقوق</t>
        </is>
      </c>
      <c r="C18" s="9" t="inlineStr">
        <is>
          <t>https://salary.tax.gov.ir</t>
        </is>
      </c>
      <c r="D18" s="9" t="inlineStr"/>
      <c r="E18" s="9" t="inlineStr"/>
      <c r="F18" s="9" t="inlineStr">
        <is>
          <t>ترجیحاً رمز واقعی را اینجا ذخیره نکنید</t>
        </is>
      </c>
      <c r="G18" s="10" t="n"/>
      <c r="H18" s="9" t="inlineStr"/>
    </row>
    <row r="19">
      <c r="A19" s="9" t="inlineStr">
        <is>
          <t>کیوان الکترونیک ایرانیان</t>
        </is>
      </c>
      <c r="B19" s="9" t="inlineStr">
        <is>
          <t>تأمین اجتماعی</t>
        </is>
      </c>
      <c r="C19" s="9" t="inlineStr">
        <is>
          <t>https://eservices.tamin.ir</t>
        </is>
      </c>
      <c r="D19" s="9" t="inlineStr"/>
      <c r="E19" s="9" t="inlineStr"/>
      <c r="F19" s="9" t="inlineStr">
        <is>
          <t>ترجیحاً رمز واقعی را اینجا ذخیره نکنید</t>
        </is>
      </c>
      <c r="G19" s="10" t="n"/>
      <c r="H19" s="9" t="inlineStr"/>
    </row>
    <row r="20">
      <c r="A20" s="9" t="inlineStr">
        <is>
          <t>کیوان الکترونیک ایرانیان</t>
        </is>
      </c>
      <c r="B20" s="9" t="inlineStr">
        <is>
          <t>ارزش افزوده</t>
        </is>
      </c>
      <c r="C20" s="9" t="inlineStr">
        <is>
          <t>https://my.tax.gov.ir</t>
        </is>
      </c>
      <c r="D20" s="9" t="inlineStr"/>
      <c r="E20" s="9" t="inlineStr"/>
      <c r="F20" s="9" t="inlineStr">
        <is>
          <t>ترجیحاً رمز واقعی را اینجا ذخیره نکنید</t>
        </is>
      </c>
      <c r="G20" s="10" t="n"/>
      <c r="H20" s="9" t="inlineStr"/>
    </row>
    <row r="21">
      <c r="A21" s="9" t="inlineStr">
        <is>
          <t>کیوان الکترونیک ایرانیان</t>
        </is>
      </c>
      <c r="B21" s="9" t="inlineStr">
        <is>
          <t>نرم‌افزار حسابداری</t>
        </is>
      </c>
      <c r="C21" s="9" t="inlineStr"/>
      <c r="D21" s="9" t="inlineStr"/>
      <c r="E21" s="9" t="inlineStr"/>
      <c r="F21" s="9" t="inlineStr">
        <is>
          <t>ترجیحاً رمز واقعی را اینجا ذخیره نکنید</t>
        </is>
      </c>
      <c r="G21" s="10" t="n"/>
      <c r="H21" s="9" t="inlineStr"/>
    </row>
    <row r="22">
      <c r="A22" s="9" t="inlineStr">
        <is>
          <t>کیهان توسعه البرز</t>
        </is>
      </c>
      <c r="B22" s="9" t="inlineStr">
        <is>
          <t>سامانه مؤدیان/مالیات</t>
        </is>
      </c>
      <c r="C22" s="9" t="inlineStr">
        <is>
          <t>https://my.tax.gov.ir</t>
        </is>
      </c>
      <c r="D22" s="9" t="inlineStr"/>
      <c r="E22" s="9" t="inlineStr"/>
      <c r="F22" s="9" t="inlineStr">
        <is>
          <t>ترجیحاً رمز واقعی را اینجا ذخیره نکنید</t>
        </is>
      </c>
      <c r="G22" s="10" t="n"/>
      <c r="H22" s="9" t="inlineStr"/>
    </row>
    <row r="23">
      <c r="A23" s="9" t="inlineStr">
        <is>
          <t>کیهان توسعه البرز</t>
        </is>
      </c>
      <c r="B23" s="9" t="inlineStr">
        <is>
          <t>مالیات حقوق</t>
        </is>
      </c>
      <c r="C23" s="9" t="inlineStr">
        <is>
          <t>https://salary.tax.gov.ir</t>
        </is>
      </c>
      <c r="D23" s="9" t="inlineStr"/>
      <c r="E23" s="9" t="inlineStr"/>
      <c r="F23" s="9" t="inlineStr">
        <is>
          <t>ترجیحاً رمز واقعی را اینجا ذخیره نکنید</t>
        </is>
      </c>
      <c r="G23" s="10" t="n"/>
      <c r="H23" s="9" t="inlineStr"/>
    </row>
    <row r="24">
      <c r="A24" s="9" t="inlineStr">
        <is>
          <t>کیهان توسعه البرز</t>
        </is>
      </c>
      <c r="B24" s="9" t="inlineStr">
        <is>
          <t>تأمین اجتماعی</t>
        </is>
      </c>
      <c r="C24" s="9" t="inlineStr">
        <is>
          <t>https://eservices.tamin.ir</t>
        </is>
      </c>
      <c r="D24" s="9" t="inlineStr"/>
      <c r="E24" s="9" t="inlineStr"/>
      <c r="F24" s="9" t="inlineStr">
        <is>
          <t>ترجیحاً رمز واقعی را اینجا ذخیره نکنید</t>
        </is>
      </c>
      <c r="G24" s="10" t="n"/>
      <c r="H24" s="9" t="inlineStr"/>
    </row>
    <row r="25">
      <c r="A25" s="9" t="inlineStr">
        <is>
          <t>کیهان توسعه البرز</t>
        </is>
      </c>
      <c r="B25" s="9" t="inlineStr">
        <is>
          <t>ارزش افزوده</t>
        </is>
      </c>
      <c r="C25" s="9" t="inlineStr">
        <is>
          <t>https://my.tax.gov.ir</t>
        </is>
      </c>
      <c r="D25" s="9" t="inlineStr"/>
      <c r="E25" s="9" t="inlineStr"/>
      <c r="F25" s="9" t="inlineStr">
        <is>
          <t>ترجیحاً رمز واقعی را اینجا ذخیره نکنید</t>
        </is>
      </c>
      <c r="G25" s="10" t="n"/>
      <c r="H25" s="9" t="inlineStr"/>
    </row>
    <row r="26">
      <c r="A26" s="9" t="inlineStr">
        <is>
          <t>کیهان توسعه البرز</t>
        </is>
      </c>
      <c r="B26" s="9" t="inlineStr">
        <is>
          <t>نرم‌افزار حسابداری</t>
        </is>
      </c>
      <c r="C26" s="9" t="inlineStr"/>
      <c r="D26" s="9" t="inlineStr"/>
      <c r="E26" s="9" t="inlineStr"/>
      <c r="F26" s="9" t="inlineStr">
        <is>
          <t>ترجیحاً رمز واقعی را اینجا ذخیره نکنید</t>
        </is>
      </c>
      <c r="G26" s="10" t="n"/>
      <c r="H26" s="9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  <c r="G27" s="10" t="inlineStr"/>
      <c r="H27" s="9" t="inlineStr"/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10" t="inlineStr"/>
      <c r="H28" s="9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10" t="inlineStr"/>
      <c r="H29" s="9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10" t="inlineStr"/>
      <c r="H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  <c r="G31" s="10" t="inlineStr"/>
      <c r="H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10" t="inlineStr"/>
      <c r="H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  <c r="G33" s="10" t="inlineStr"/>
      <c r="H33" s="9" t="inlineStr"/>
    </row>
    <row r="34">
      <c r="A34" s="9" t="inlineStr"/>
      <c r="B34" s="9" t="inlineStr"/>
      <c r="C34" s="9" t="inlineStr"/>
      <c r="D34" s="9" t="inlineStr"/>
      <c r="E34" s="9" t="inlineStr"/>
      <c r="F34" s="9" t="inlineStr"/>
      <c r="G34" s="10" t="inlineStr"/>
      <c r="H34" s="9" t="inlineStr"/>
    </row>
    <row r="35">
      <c r="A35" s="9" t="inlineStr"/>
      <c r="B35" s="9" t="inlineStr"/>
      <c r="C35" s="9" t="inlineStr"/>
      <c r="D35" s="9" t="inlineStr"/>
      <c r="E35" s="9" t="inlineStr"/>
      <c r="F35" s="9" t="inlineStr"/>
      <c r="G35" s="10" t="inlineStr"/>
      <c r="H35" s="9" t="inlineStr"/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10" t="inlineStr"/>
      <c r="H36" s="9" t="inlineStr"/>
    </row>
    <row r="37">
      <c r="A37" s="9" t="inlineStr"/>
      <c r="B37" s="9" t="inlineStr"/>
      <c r="C37" s="9" t="inlineStr"/>
      <c r="D37" s="9" t="inlineStr"/>
      <c r="E37" s="9" t="inlineStr"/>
      <c r="F37" s="9" t="inlineStr"/>
      <c r="G37" s="10" t="inlineStr"/>
      <c r="H37" s="9" t="inlineStr"/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10" t="inlineStr"/>
      <c r="H38" s="9" t="inlineStr"/>
    </row>
    <row r="39">
      <c r="A39" s="9" t="inlineStr"/>
      <c r="B39" s="9" t="inlineStr"/>
      <c r="C39" s="9" t="inlineStr"/>
      <c r="D39" s="9" t="inlineStr"/>
      <c r="E39" s="9" t="inlineStr"/>
      <c r="F39" s="9" t="inlineStr"/>
      <c r="G39" s="10" t="inlineStr"/>
      <c r="H39" s="9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10" t="inlineStr"/>
      <c r="H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10" t="inlineStr"/>
      <c r="H41" s="9" t="inlineStr"/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10" t="inlineStr"/>
      <c r="H42" s="9" t="inlineStr"/>
    </row>
    <row r="43">
      <c r="A43" s="9" t="inlineStr"/>
      <c r="B43" s="9" t="inlineStr"/>
      <c r="C43" s="9" t="inlineStr"/>
      <c r="D43" s="9" t="inlineStr"/>
      <c r="E43" s="9" t="inlineStr"/>
      <c r="F43" s="9" t="inlineStr"/>
      <c r="G43" s="10" t="inlineStr"/>
      <c r="H43" s="9" t="inlineStr"/>
    </row>
    <row r="44">
      <c r="A44" s="9" t="inlineStr"/>
      <c r="B44" s="9" t="inlineStr"/>
      <c r="C44" s="9" t="inlineStr"/>
      <c r="D44" s="9" t="inlineStr"/>
      <c r="E44" s="9" t="inlineStr"/>
      <c r="F44" s="9" t="inlineStr"/>
      <c r="G44" s="10" t="inlineStr"/>
      <c r="H44" s="9" t="inlineStr"/>
    </row>
    <row r="45">
      <c r="A45" s="9" t="inlineStr"/>
      <c r="B45" s="9" t="inlineStr"/>
      <c r="C45" s="9" t="inlineStr"/>
      <c r="D45" s="9" t="inlineStr"/>
      <c r="E45" s="9" t="inlineStr"/>
      <c r="F45" s="9" t="inlineStr"/>
      <c r="G45" s="10" t="inlineStr"/>
      <c r="H45" s="9" t="inlineStr"/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10" t="inlineStr"/>
      <c r="H46" s="9" t="inlineStr"/>
    </row>
    <row r="47">
      <c r="A47" s="9" t="inlineStr"/>
      <c r="B47" s="9" t="inlineStr"/>
      <c r="C47" s="9" t="inlineStr"/>
      <c r="D47" s="9" t="inlineStr"/>
      <c r="E47" s="9" t="inlineStr"/>
      <c r="F47" s="9" t="inlineStr"/>
      <c r="G47" s="10" t="inlineStr"/>
      <c r="H47" s="9" t="inlineStr"/>
    </row>
    <row r="48">
      <c r="A48" s="9" t="inlineStr"/>
      <c r="B48" s="9" t="inlineStr"/>
      <c r="C48" s="9" t="inlineStr"/>
      <c r="D48" s="9" t="inlineStr"/>
      <c r="E48" s="9" t="inlineStr"/>
      <c r="F48" s="9" t="inlineStr"/>
      <c r="G48" s="10" t="inlineStr"/>
      <c r="H48" s="9" t="inlineStr"/>
    </row>
    <row r="49">
      <c r="A49" s="9" t="inlineStr"/>
      <c r="B49" s="9" t="inlineStr"/>
      <c r="C49" s="9" t="inlineStr"/>
      <c r="D49" s="9" t="inlineStr"/>
      <c r="E49" s="9" t="inlineStr"/>
      <c r="F49" s="9" t="inlineStr"/>
      <c r="G49" s="10" t="inlineStr"/>
      <c r="H49" s="9" t="inlineStr"/>
    </row>
    <row r="50">
      <c r="A50" s="9" t="inlineStr"/>
      <c r="B50" s="9" t="inlineStr"/>
      <c r="C50" s="9" t="inlineStr"/>
      <c r="D50" s="9" t="inlineStr"/>
      <c r="E50" s="9" t="inlineStr"/>
      <c r="F50" s="9" t="inlineStr"/>
      <c r="G50" s="10" t="inlineStr"/>
      <c r="H50" s="9" t="inlineStr"/>
    </row>
    <row r="51">
      <c r="A51" s="9" t="inlineStr"/>
      <c r="B51" s="9" t="inlineStr"/>
      <c r="C51" s="9" t="inlineStr"/>
      <c r="D51" s="9" t="inlineStr"/>
      <c r="E51" s="9" t="inlineStr"/>
      <c r="F51" s="9" t="inlineStr"/>
      <c r="G51" s="10" t="inlineStr"/>
      <c r="H51" s="9" t="inlineStr"/>
    </row>
    <row r="52">
      <c r="A52" s="9" t="inlineStr"/>
      <c r="B52" s="9" t="inlineStr"/>
      <c r="C52" s="9" t="inlineStr"/>
      <c r="D52" s="9" t="inlineStr"/>
      <c r="E52" s="9" t="inlineStr"/>
      <c r="F52" s="9" t="inlineStr"/>
      <c r="G52" s="10" t="inlineStr"/>
      <c r="H52" s="9" t="inlineStr"/>
    </row>
    <row r="53">
      <c r="A53" s="9" t="inlineStr"/>
      <c r="B53" s="9" t="inlineStr"/>
      <c r="C53" s="9" t="inlineStr"/>
      <c r="D53" s="9" t="inlineStr"/>
      <c r="E53" s="9" t="inlineStr"/>
      <c r="F53" s="9" t="inlineStr"/>
      <c r="G53" s="10" t="inlineStr"/>
      <c r="H53" s="9" t="inlineStr"/>
    </row>
    <row r="54">
      <c r="A54" s="9" t="inlineStr"/>
      <c r="B54" s="9" t="inlineStr"/>
      <c r="C54" s="9" t="inlineStr"/>
      <c r="D54" s="9" t="inlineStr"/>
      <c r="E54" s="9" t="inlineStr"/>
      <c r="F54" s="9" t="inlineStr"/>
      <c r="G54" s="10" t="inlineStr"/>
      <c r="H54" s="9" t="inlineStr"/>
    </row>
    <row r="55">
      <c r="A55" s="9" t="inlineStr"/>
      <c r="B55" s="9" t="inlineStr"/>
      <c r="C55" s="9" t="inlineStr"/>
      <c r="D55" s="9" t="inlineStr"/>
      <c r="E55" s="9" t="inlineStr"/>
      <c r="F55" s="9" t="inlineStr"/>
      <c r="G55" s="10" t="inlineStr"/>
      <c r="H55" s="9" t="inlineStr"/>
    </row>
    <row r="56">
      <c r="A56" s="9" t="inlineStr"/>
      <c r="B56" s="9" t="inlineStr"/>
      <c r="C56" s="9" t="inlineStr"/>
      <c r="D56" s="9" t="inlineStr"/>
      <c r="E56" s="9" t="inlineStr"/>
      <c r="F56" s="9" t="inlineStr"/>
      <c r="G56" s="10" t="inlineStr"/>
      <c r="H56" s="9" t="inlineStr"/>
    </row>
    <row r="57">
      <c r="A57" s="9" t="inlineStr"/>
      <c r="B57" s="9" t="inlineStr"/>
      <c r="C57" s="9" t="inlineStr"/>
      <c r="D57" s="9" t="inlineStr"/>
      <c r="E57" s="9" t="inlineStr"/>
      <c r="F57" s="9" t="inlineStr"/>
      <c r="G57" s="10" t="inlineStr"/>
      <c r="H57" s="9" t="inlineStr"/>
    </row>
    <row r="58">
      <c r="A58" s="9" t="inlineStr"/>
      <c r="B58" s="9" t="inlineStr"/>
      <c r="C58" s="9" t="inlineStr"/>
      <c r="D58" s="9" t="inlineStr"/>
      <c r="E58" s="9" t="inlineStr"/>
      <c r="F58" s="9" t="inlineStr"/>
      <c r="G58" s="10" t="inlineStr"/>
      <c r="H58" s="9" t="inlineStr"/>
    </row>
    <row r="59">
      <c r="A59" s="9" t="inlineStr"/>
      <c r="B59" s="9" t="inlineStr"/>
      <c r="C59" s="9" t="inlineStr"/>
      <c r="D59" s="9" t="inlineStr"/>
      <c r="E59" s="9" t="inlineStr"/>
      <c r="F59" s="9" t="inlineStr"/>
      <c r="G59" s="10" t="inlineStr"/>
      <c r="H59" s="9" t="inlineStr"/>
    </row>
    <row r="60">
      <c r="A60" s="9" t="inlineStr"/>
      <c r="B60" s="9" t="inlineStr"/>
      <c r="C60" s="9" t="inlineStr"/>
      <c r="D60" s="9" t="inlineStr"/>
      <c r="E60" s="9" t="inlineStr"/>
      <c r="F60" s="9" t="inlineStr"/>
      <c r="G60" s="10" t="inlineStr"/>
      <c r="H60" s="9" t="inlineStr"/>
    </row>
    <row r="61">
      <c r="A61" s="9" t="inlineStr"/>
      <c r="B61" s="9" t="inlineStr"/>
      <c r="C61" s="9" t="inlineStr"/>
      <c r="D61" s="9" t="inlineStr"/>
      <c r="E61" s="9" t="inlineStr"/>
      <c r="F61" s="9" t="inlineStr"/>
      <c r="G61" s="10" t="inlineStr"/>
      <c r="H61" s="9" t="inlineStr"/>
    </row>
    <row r="62">
      <c r="A62" s="9" t="inlineStr"/>
      <c r="B62" s="9" t="inlineStr"/>
      <c r="C62" s="9" t="inlineStr"/>
      <c r="D62" s="9" t="inlineStr"/>
      <c r="E62" s="9" t="inlineStr"/>
      <c r="F62" s="9" t="inlineStr"/>
      <c r="G62" s="10" t="inlineStr"/>
      <c r="H62" s="9" t="inlineStr"/>
    </row>
    <row r="63">
      <c r="A63" s="9" t="inlineStr"/>
      <c r="B63" s="9" t="inlineStr"/>
      <c r="C63" s="9" t="inlineStr"/>
      <c r="D63" s="9" t="inlineStr"/>
      <c r="E63" s="9" t="inlineStr"/>
      <c r="F63" s="9" t="inlineStr"/>
      <c r="G63" s="10" t="inlineStr"/>
      <c r="H63" s="9" t="inlineStr"/>
    </row>
    <row r="64">
      <c r="A64" s="9" t="inlineStr"/>
      <c r="B64" s="9" t="inlineStr"/>
      <c r="C64" s="9" t="inlineStr"/>
      <c r="D64" s="9" t="inlineStr"/>
      <c r="E64" s="9" t="inlineStr"/>
      <c r="F64" s="9" t="inlineStr"/>
      <c r="G64" s="10" t="inlineStr"/>
      <c r="H64" s="9" t="inlineStr"/>
    </row>
    <row r="65">
      <c r="A65" s="9" t="inlineStr"/>
      <c r="B65" s="9" t="inlineStr"/>
      <c r="C65" s="9" t="inlineStr"/>
      <c r="D65" s="9" t="inlineStr"/>
      <c r="E65" s="9" t="inlineStr"/>
      <c r="F65" s="9" t="inlineStr"/>
      <c r="G65" s="10" t="inlineStr"/>
      <c r="H65" s="9" t="inlineStr"/>
    </row>
    <row r="66">
      <c r="A66" s="9" t="inlineStr"/>
      <c r="B66" s="9" t="inlineStr"/>
      <c r="C66" s="9" t="inlineStr"/>
      <c r="D66" s="9" t="inlineStr"/>
      <c r="E66" s="9" t="inlineStr"/>
      <c r="F66" s="9" t="inlineStr"/>
      <c r="G66" s="10" t="inlineStr"/>
      <c r="H66" s="9" t="inlineStr"/>
    </row>
    <row r="67">
      <c r="A67" s="9" t="inlineStr"/>
      <c r="B67" s="9" t="inlineStr"/>
      <c r="C67" s="9" t="inlineStr"/>
      <c r="D67" s="9" t="inlineStr"/>
      <c r="E67" s="9" t="inlineStr"/>
      <c r="F67" s="9" t="inlineStr"/>
      <c r="G67" s="10" t="inlineStr"/>
      <c r="H67" s="9" t="inlineStr"/>
    </row>
    <row r="68">
      <c r="A68" s="9" t="inlineStr"/>
      <c r="B68" s="9" t="inlineStr"/>
      <c r="C68" s="9" t="inlineStr"/>
      <c r="D68" s="9" t="inlineStr"/>
      <c r="E68" s="9" t="inlineStr"/>
      <c r="F68" s="9" t="inlineStr"/>
      <c r="G68" s="10" t="inlineStr"/>
      <c r="H68" s="9" t="inlineStr"/>
    </row>
    <row r="69">
      <c r="A69" s="9" t="inlineStr"/>
      <c r="B69" s="9" t="inlineStr"/>
      <c r="C69" s="9" t="inlineStr"/>
      <c r="D69" s="9" t="inlineStr"/>
      <c r="E69" s="9" t="inlineStr"/>
      <c r="F69" s="9" t="inlineStr"/>
      <c r="G69" s="10" t="inlineStr"/>
      <c r="H69" s="9" t="inlineStr"/>
    </row>
    <row r="70">
      <c r="A70" s="9" t="inlineStr"/>
      <c r="B70" s="9" t="inlineStr"/>
      <c r="C70" s="9" t="inlineStr"/>
      <c r="D70" s="9" t="inlineStr"/>
      <c r="E70" s="9" t="inlineStr"/>
      <c r="F70" s="9" t="inlineStr"/>
      <c r="G70" s="10" t="inlineStr"/>
      <c r="H70" s="9" t="inlineStr"/>
    </row>
    <row r="71">
      <c r="A71" s="9" t="inlineStr"/>
      <c r="B71" s="9" t="inlineStr"/>
      <c r="C71" s="9" t="inlineStr"/>
      <c r="D71" s="9" t="inlineStr"/>
      <c r="E71" s="9" t="inlineStr"/>
      <c r="F71" s="9" t="inlineStr"/>
      <c r="G71" s="10" t="inlineStr"/>
      <c r="H71" s="9" t="inlineStr"/>
    </row>
    <row r="72">
      <c r="A72" s="9" t="inlineStr"/>
      <c r="B72" s="9" t="inlineStr"/>
      <c r="C72" s="9" t="inlineStr"/>
      <c r="D72" s="9" t="inlineStr"/>
      <c r="E72" s="9" t="inlineStr"/>
      <c r="F72" s="9" t="inlineStr"/>
      <c r="G72" s="10" t="inlineStr"/>
      <c r="H72" s="9" t="inlineStr"/>
    </row>
    <row r="73">
      <c r="A73" s="9" t="inlineStr"/>
      <c r="B73" s="9" t="inlineStr"/>
      <c r="C73" s="9" t="inlineStr"/>
      <c r="D73" s="9" t="inlineStr"/>
      <c r="E73" s="9" t="inlineStr"/>
      <c r="F73" s="9" t="inlineStr"/>
      <c r="G73" s="10" t="inlineStr"/>
      <c r="H73" s="9" t="inlineStr"/>
    </row>
    <row r="74">
      <c r="A74" s="9" t="inlineStr"/>
      <c r="B74" s="9" t="inlineStr"/>
      <c r="C74" s="9" t="inlineStr"/>
      <c r="D74" s="9" t="inlineStr"/>
      <c r="E74" s="9" t="inlineStr"/>
      <c r="F74" s="9" t="inlineStr"/>
      <c r="G74" s="10" t="inlineStr"/>
      <c r="H74" s="9" t="inlineStr"/>
    </row>
    <row r="75">
      <c r="A75" s="9" t="inlineStr"/>
      <c r="B75" s="9" t="inlineStr"/>
      <c r="C75" s="9" t="inlineStr"/>
      <c r="D75" s="9" t="inlineStr"/>
      <c r="E75" s="9" t="inlineStr"/>
      <c r="F75" s="9" t="inlineStr"/>
      <c r="G75" s="10" t="inlineStr"/>
      <c r="H75" s="9" t="inlineStr"/>
    </row>
    <row r="76">
      <c r="A76" s="9" t="inlineStr"/>
      <c r="B76" s="9" t="inlineStr"/>
      <c r="C76" s="9" t="inlineStr"/>
      <c r="D76" s="9" t="inlineStr"/>
      <c r="E76" s="9" t="inlineStr"/>
      <c r="F76" s="9" t="inlineStr"/>
      <c r="G76" s="10" t="inlineStr"/>
      <c r="H76" s="9" t="inlineStr"/>
    </row>
    <row r="77">
      <c r="A77" s="9" t="inlineStr"/>
      <c r="B77" s="9" t="inlineStr"/>
      <c r="C77" s="9" t="inlineStr"/>
      <c r="D77" s="9" t="inlineStr"/>
      <c r="E77" s="9" t="inlineStr"/>
      <c r="F77" s="9" t="inlineStr"/>
      <c r="G77" s="10" t="inlineStr"/>
      <c r="H77" s="9" t="inlineStr"/>
    </row>
    <row r="78">
      <c r="A78" s="9" t="inlineStr"/>
      <c r="B78" s="9" t="inlineStr"/>
      <c r="C78" s="9" t="inlineStr"/>
      <c r="D78" s="9" t="inlineStr"/>
      <c r="E78" s="9" t="inlineStr"/>
      <c r="F78" s="9" t="inlineStr"/>
      <c r="G78" s="10" t="inlineStr"/>
      <c r="H78" s="9" t="inlineStr"/>
    </row>
    <row r="79">
      <c r="A79" s="9" t="inlineStr"/>
      <c r="B79" s="9" t="inlineStr"/>
      <c r="C79" s="9" t="inlineStr"/>
      <c r="D79" s="9" t="inlineStr"/>
      <c r="E79" s="9" t="inlineStr"/>
      <c r="F79" s="9" t="inlineStr"/>
      <c r="G79" s="10" t="inlineStr"/>
      <c r="H79" s="9" t="inlineStr"/>
    </row>
    <row r="80">
      <c r="A80" s="9" t="inlineStr"/>
      <c r="B80" s="9" t="inlineStr"/>
      <c r="C80" s="9" t="inlineStr"/>
      <c r="D80" s="9" t="inlineStr"/>
      <c r="E80" s="9" t="inlineStr"/>
      <c r="F80" s="9" t="inlineStr"/>
      <c r="G80" s="10" t="inlineStr"/>
      <c r="H80" s="9" t="inlineStr"/>
    </row>
    <row r="81">
      <c r="A81" s="9" t="inlineStr"/>
      <c r="B81" s="9" t="inlineStr"/>
      <c r="C81" s="9" t="inlineStr"/>
      <c r="D81" s="9" t="inlineStr"/>
      <c r="E81" s="9" t="inlineStr"/>
      <c r="F81" s="9" t="inlineStr"/>
      <c r="G81" s="10" t="inlineStr"/>
      <c r="H81" s="9" t="inlineStr"/>
    </row>
    <row r="82">
      <c r="A82" s="9" t="inlineStr"/>
      <c r="B82" s="9" t="inlineStr"/>
      <c r="C82" s="9" t="inlineStr"/>
      <c r="D82" s="9" t="inlineStr"/>
      <c r="E82" s="9" t="inlineStr"/>
      <c r="F82" s="9" t="inlineStr"/>
      <c r="G82" s="10" t="inlineStr"/>
      <c r="H82" s="9" t="inlineStr"/>
    </row>
    <row r="83">
      <c r="A83" s="9" t="inlineStr"/>
      <c r="B83" s="9" t="inlineStr"/>
      <c r="C83" s="9" t="inlineStr"/>
      <c r="D83" s="9" t="inlineStr"/>
      <c r="E83" s="9" t="inlineStr"/>
      <c r="F83" s="9" t="inlineStr"/>
      <c r="G83" s="10" t="inlineStr"/>
      <c r="H83" s="9" t="inlineStr"/>
    </row>
    <row r="84">
      <c r="A84" s="9" t="inlineStr"/>
      <c r="B84" s="9" t="inlineStr"/>
      <c r="C84" s="9" t="inlineStr"/>
      <c r="D84" s="9" t="inlineStr"/>
      <c r="E84" s="9" t="inlineStr"/>
      <c r="F84" s="9" t="inlineStr"/>
      <c r="G84" s="10" t="inlineStr"/>
      <c r="H84" s="9" t="inlineStr"/>
    </row>
    <row r="85">
      <c r="A85" s="9" t="inlineStr"/>
      <c r="B85" s="9" t="inlineStr"/>
      <c r="C85" s="9" t="inlineStr"/>
      <c r="D85" s="9" t="inlineStr"/>
      <c r="E85" s="9" t="inlineStr"/>
      <c r="F85" s="9" t="inlineStr"/>
      <c r="G85" s="10" t="inlineStr"/>
      <c r="H85" s="9" t="inlineStr"/>
    </row>
    <row r="86">
      <c r="A86" s="9" t="inlineStr"/>
      <c r="B86" s="9" t="inlineStr"/>
      <c r="C86" s="9" t="inlineStr"/>
      <c r="D86" s="9" t="inlineStr"/>
      <c r="E86" s="9" t="inlineStr"/>
      <c r="F86" s="9" t="inlineStr"/>
      <c r="G86" s="10" t="inlineStr"/>
      <c r="H86" s="9" t="inlineStr"/>
    </row>
    <row r="87">
      <c r="A87" s="9" t="inlineStr"/>
      <c r="B87" s="9" t="inlineStr"/>
      <c r="C87" s="9" t="inlineStr"/>
      <c r="D87" s="9" t="inlineStr"/>
      <c r="E87" s="9" t="inlineStr"/>
      <c r="F87" s="9" t="inlineStr"/>
      <c r="G87" s="10" t="inlineStr"/>
      <c r="H87" s="9" t="inlineStr"/>
    </row>
    <row r="88">
      <c r="A88" s="9" t="inlineStr"/>
      <c r="B88" s="9" t="inlineStr"/>
      <c r="C88" s="9" t="inlineStr"/>
      <c r="D88" s="9" t="inlineStr"/>
      <c r="E88" s="9" t="inlineStr"/>
      <c r="F88" s="9" t="inlineStr"/>
      <c r="G88" s="10" t="inlineStr"/>
      <c r="H88" s="9" t="inlineStr"/>
    </row>
    <row r="89">
      <c r="A89" s="9" t="inlineStr"/>
      <c r="B89" s="9" t="inlineStr"/>
      <c r="C89" s="9" t="inlineStr"/>
      <c r="D89" s="9" t="inlineStr"/>
      <c r="E89" s="9" t="inlineStr"/>
      <c r="F89" s="9" t="inlineStr"/>
      <c r="G89" s="10" t="inlineStr"/>
      <c r="H89" s="9" t="inlineStr"/>
    </row>
    <row r="90">
      <c r="A90" s="9" t="inlineStr"/>
      <c r="B90" s="9" t="inlineStr"/>
      <c r="C90" s="9" t="inlineStr"/>
      <c r="D90" s="9" t="inlineStr"/>
      <c r="E90" s="9" t="inlineStr"/>
      <c r="F90" s="9" t="inlineStr"/>
      <c r="G90" s="10" t="inlineStr"/>
      <c r="H90" s="9" t="inlineStr"/>
    </row>
    <row r="91">
      <c r="A91" s="9" t="inlineStr"/>
      <c r="B91" s="9" t="inlineStr"/>
      <c r="C91" s="9" t="inlineStr"/>
      <c r="D91" s="9" t="inlineStr"/>
      <c r="E91" s="9" t="inlineStr"/>
      <c r="F91" s="9" t="inlineStr"/>
      <c r="G91" s="10" t="inlineStr"/>
      <c r="H91" s="9" t="inlineStr"/>
    </row>
    <row r="92">
      <c r="A92" s="9" t="inlineStr"/>
      <c r="B92" s="9" t="inlineStr"/>
      <c r="C92" s="9" t="inlineStr"/>
      <c r="D92" s="9" t="inlineStr"/>
      <c r="E92" s="9" t="inlineStr"/>
      <c r="F92" s="9" t="inlineStr"/>
      <c r="G92" s="10" t="inlineStr"/>
      <c r="H92" s="9" t="inlineStr"/>
    </row>
    <row r="93">
      <c r="A93" s="9" t="inlineStr"/>
      <c r="B93" s="9" t="inlineStr"/>
      <c r="C93" s="9" t="inlineStr"/>
      <c r="D93" s="9" t="inlineStr"/>
      <c r="E93" s="9" t="inlineStr"/>
      <c r="F93" s="9" t="inlineStr"/>
      <c r="G93" s="10" t="inlineStr"/>
      <c r="H93" s="9" t="inlineStr"/>
    </row>
    <row r="94">
      <c r="A94" s="9" t="inlineStr"/>
      <c r="B94" s="9" t="inlineStr"/>
      <c r="C94" s="9" t="inlineStr"/>
      <c r="D94" s="9" t="inlineStr"/>
      <c r="E94" s="9" t="inlineStr"/>
      <c r="F94" s="9" t="inlineStr"/>
      <c r="G94" s="10" t="inlineStr"/>
      <c r="H94" s="9" t="inlineStr"/>
    </row>
    <row r="95">
      <c r="A95" s="9" t="inlineStr"/>
      <c r="B95" s="9" t="inlineStr"/>
      <c r="C95" s="9" t="inlineStr"/>
      <c r="D95" s="9" t="inlineStr"/>
      <c r="E95" s="9" t="inlineStr"/>
      <c r="F95" s="9" t="inlineStr"/>
      <c r="G95" s="10" t="inlineStr"/>
      <c r="H95" s="9" t="inlineStr"/>
    </row>
    <row r="96">
      <c r="A96" s="9" t="inlineStr"/>
      <c r="B96" s="9" t="inlineStr"/>
      <c r="C96" s="9" t="inlineStr"/>
      <c r="D96" s="9" t="inlineStr"/>
      <c r="E96" s="9" t="inlineStr"/>
      <c r="F96" s="9" t="inlineStr"/>
      <c r="G96" s="10" t="inlineStr"/>
      <c r="H96" s="9" t="inlineStr"/>
    </row>
    <row r="97">
      <c r="A97" s="9" t="inlineStr"/>
      <c r="B97" s="9" t="inlineStr"/>
      <c r="C97" s="9" t="inlineStr"/>
      <c r="D97" s="9" t="inlineStr"/>
      <c r="E97" s="9" t="inlineStr"/>
      <c r="F97" s="9" t="inlineStr"/>
      <c r="G97" s="10" t="inlineStr"/>
      <c r="H97" s="9" t="inlineStr"/>
    </row>
    <row r="98">
      <c r="A98" s="9" t="inlineStr"/>
      <c r="B98" s="9" t="inlineStr"/>
      <c r="C98" s="9" t="inlineStr"/>
      <c r="D98" s="9" t="inlineStr"/>
      <c r="E98" s="9" t="inlineStr"/>
      <c r="F98" s="9" t="inlineStr"/>
      <c r="G98" s="10" t="inlineStr"/>
      <c r="H98" s="9" t="inlineStr"/>
    </row>
    <row r="99">
      <c r="A99" s="9" t="inlineStr"/>
      <c r="B99" s="9" t="inlineStr"/>
      <c r="C99" s="9" t="inlineStr"/>
      <c r="D99" s="9" t="inlineStr"/>
      <c r="E99" s="9" t="inlineStr"/>
      <c r="F99" s="9" t="inlineStr"/>
      <c r="G99" s="10" t="inlineStr"/>
      <c r="H99" s="9" t="inlineStr"/>
    </row>
    <row r="100">
      <c r="A100" s="9" t="inlineStr"/>
      <c r="B100" s="9" t="inlineStr"/>
      <c r="C100" s="9" t="inlineStr"/>
      <c r="D100" s="9" t="inlineStr"/>
      <c r="E100" s="9" t="inlineStr"/>
      <c r="F100" s="9" t="inlineStr"/>
      <c r="G100" s="10" t="inlineStr"/>
      <c r="H100" s="9" t="inlineStr"/>
    </row>
  </sheetData>
  <dataValidations count="1">
    <dataValidation sqref="A2:A100" showDropDown="0" showInputMessage="0" showErrorMessage="0" allowBlank="1" type="list">
      <formula1>'تنظیمات'!$A$3:$A$7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0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0" customWidth="1" min="4" max="4"/>
    <col width="32" customWidth="1" min="5" max="5"/>
    <col width="40" customWidth="1" min="6" max="6"/>
    <col width="20" customWidth="1" min="7" max="7"/>
    <col width="38" customWidth="1" min="8" max="8"/>
    <col width="14" customWidth="1" min="9" max="9"/>
  </cols>
  <sheetData>
    <row r="1">
      <c r="A1" s="8" t="inlineStr">
        <is>
          <t>شرکت</t>
        </is>
      </c>
      <c r="B1" s="8" t="inlineStr">
        <is>
          <t>تاریخ</t>
        </is>
      </c>
      <c r="C1" s="8" t="inlineStr">
        <is>
          <t>فرآیند</t>
        </is>
      </c>
      <c r="D1" s="8" t="inlineStr">
        <is>
          <t>شرح خطا/ریسک</t>
        </is>
      </c>
      <c r="E1" s="8" t="inlineStr">
        <is>
          <t>علت ریشه‌ای</t>
        </is>
      </c>
      <c r="F1" s="8" t="inlineStr">
        <is>
          <t>راه‌حل/اصلاح</t>
        </is>
      </c>
      <c r="G1" s="8" t="inlineStr">
        <is>
          <t>شماره سند/مدرک</t>
        </is>
      </c>
      <c r="H1" s="8" t="inlineStr">
        <is>
          <t>اقدام پیشگیرانه</t>
        </is>
      </c>
      <c r="I1" s="8" t="inlineStr">
        <is>
          <t>وضعیت</t>
        </is>
      </c>
    </row>
    <row r="2">
      <c r="A2" s="9" t="inlineStr"/>
      <c r="B2" s="10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</row>
    <row r="3">
      <c r="A3" s="9" t="inlineStr"/>
      <c r="B3" s="10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</row>
    <row r="4">
      <c r="A4" s="9" t="inlineStr"/>
      <c r="B4" s="10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</row>
    <row r="5">
      <c r="A5" s="9" t="inlineStr"/>
      <c r="B5" s="10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</row>
    <row r="6">
      <c r="A6" s="9" t="inlineStr"/>
      <c r="B6" s="10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</row>
    <row r="7">
      <c r="A7" s="9" t="inlineStr"/>
      <c r="B7" s="10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</row>
    <row r="8">
      <c r="A8" s="9" t="inlineStr"/>
      <c r="B8" s="10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</row>
    <row r="9">
      <c r="A9" s="9" t="inlineStr"/>
      <c r="B9" s="10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</row>
    <row r="10">
      <c r="A10" s="9" t="inlineStr"/>
      <c r="B10" s="10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</row>
    <row r="11">
      <c r="A11" s="9" t="inlineStr"/>
      <c r="B11" s="10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>
      <c r="A12" s="9" t="inlineStr"/>
      <c r="B12" s="10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</row>
    <row r="13">
      <c r="A13" s="9" t="inlineStr"/>
      <c r="B13" s="10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>
      <c r="A14" s="9" t="inlineStr"/>
      <c r="B14" s="10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</row>
    <row r="15">
      <c r="A15" s="9" t="inlineStr"/>
      <c r="B15" s="10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>
      <c r="A16" s="9" t="inlineStr"/>
      <c r="B16" s="10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</row>
    <row r="17">
      <c r="A17" s="9" t="inlineStr"/>
      <c r="B17" s="10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>
      <c r="A18" s="9" t="inlineStr"/>
      <c r="B18" s="10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</row>
    <row r="19">
      <c r="A19" s="9" t="inlineStr"/>
      <c r="B19" s="10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>
      <c r="A20" s="9" t="inlineStr"/>
      <c r="B20" s="10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1">
      <c r="A21" s="9" t="inlineStr"/>
      <c r="B21" s="10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>
      <c r="A22" s="9" t="inlineStr"/>
      <c r="B22" s="10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</row>
    <row r="23">
      <c r="A23" s="9" t="inlineStr"/>
      <c r="B23" s="10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</row>
    <row r="24">
      <c r="A24" s="9" t="inlineStr"/>
      <c r="B24" s="10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</row>
    <row r="25">
      <c r="A25" s="9" t="inlineStr"/>
      <c r="B25" s="10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</row>
    <row r="26">
      <c r="A26" s="9" t="inlineStr"/>
      <c r="B26" s="10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</row>
    <row r="27">
      <c r="A27" s="9" t="inlineStr"/>
      <c r="B27" s="10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</row>
    <row r="28">
      <c r="A28" s="9" t="inlineStr"/>
      <c r="B28" s="10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</row>
    <row r="29">
      <c r="A29" s="9" t="inlineStr"/>
      <c r="B29" s="10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</row>
    <row r="30">
      <c r="A30" s="9" t="inlineStr"/>
      <c r="B30" s="10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</row>
    <row r="31">
      <c r="A31" s="9" t="inlineStr"/>
      <c r="B31" s="10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</row>
    <row r="32">
      <c r="A32" s="9" t="inlineStr"/>
      <c r="B32" s="10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</row>
    <row r="33">
      <c r="A33" s="9" t="inlineStr"/>
      <c r="B33" s="10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</row>
    <row r="34">
      <c r="A34" s="9" t="inlineStr"/>
      <c r="B34" s="10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</row>
    <row r="35">
      <c r="A35" s="9" t="inlineStr"/>
      <c r="B35" s="10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</row>
    <row r="36">
      <c r="A36" s="9" t="inlineStr"/>
      <c r="B36" s="10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</row>
    <row r="37">
      <c r="A37" s="9" t="inlineStr"/>
      <c r="B37" s="10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</row>
    <row r="38">
      <c r="A38" s="9" t="inlineStr"/>
      <c r="B38" s="10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</row>
    <row r="39">
      <c r="A39" s="9" t="inlineStr"/>
      <c r="B39" s="10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</row>
    <row r="40">
      <c r="A40" s="9" t="inlineStr"/>
      <c r="B40" s="10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</row>
    <row r="41">
      <c r="A41" s="9" t="inlineStr"/>
      <c r="B41" s="10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</row>
    <row r="42">
      <c r="A42" s="9" t="inlineStr"/>
      <c r="B42" s="10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</row>
    <row r="43">
      <c r="A43" s="9" t="inlineStr"/>
      <c r="B43" s="10" t="inlineStr"/>
      <c r="C43" s="9" t="inlineStr"/>
      <c r="D43" s="9" t="inlineStr"/>
      <c r="E43" s="9" t="inlineStr"/>
      <c r="F43" s="9" t="inlineStr"/>
      <c r="G43" s="9" t="inlineStr"/>
      <c r="H43" s="9" t="inlineStr"/>
      <c r="I43" s="9" t="inlineStr"/>
    </row>
    <row r="44">
      <c r="A44" s="9" t="inlineStr"/>
      <c r="B44" s="10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</row>
    <row r="45">
      <c r="A45" s="9" t="inlineStr"/>
      <c r="B45" s="10" t="inlineStr"/>
      <c r="C45" s="9" t="inlineStr"/>
      <c r="D45" s="9" t="inlineStr"/>
      <c r="E45" s="9" t="inlineStr"/>
      <c r="F45" s="9" t="inlineStr"/>
      <c r="G45" s="9" t="inlineStr"/>
      <c r="H45" s="9" t="inlineStr"/>
      <c r="I45" s="9" t="inlineStr"/>
    </row>
    <row r="46">
      <c r="A46" s="9" t="inlineStr"/>
      <c r="B46" s="10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</row>
    <row r="47">
      <c r="A47" s="9" t="inlineStr"/>
      <c r="B47" s="10" t="inlineStr"/>
      <c r="C47" s="9" t="inlineStr"/>
      <c r="D47" s="9" t="inlineStr"/>
      <c r="E47" s="9" t="inlineStr"/>
      <c r="F47" s="9" t="inlineStr"/>
      <c r="G47" s="9" t="inlineStr"/>
      <c r="H47" s="9" t="inlineStr"/>
      <c r="I47" s="9" t="inlineStr"/>
    </row>
    <row r="48">
      <c r="A48" s="9" t="inlineStr"/>
      <c r="B48" s="10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</row>
    <row r="49">
      <c r="A49" s="9" t="inlineStr"/>
      <c r="B49" s="10" t="inlineStr"/>
      <c r="C49" s="9" t="inlineStr"/>
      <c r="D49" s="9" t="inlineStr"/>
      <c r="E49" s="9" t="inlineStr"/>
      <c r="F49" s="9" t="inlineStr"/>
      <c r="G49" s="9" t="inlineStr"/>
      <c r="H49" s="9" t="inlineStr"/>
      <c r="I49" s="9" t="inlineStr"/>
    </row>
    <row r="50">
      <c r="A50" s="9" t="inlineStr"/>
      <c r="B50" s="10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</row>
    <row r="51">
      <c r="A51" s="9" t="inlineStr"/>
      <c r="B51" s="10" t="inlineStr"/>
      <c r="C51" s="9" t="inlineStr"/>
      <c r="D51" s="9" t="inlineStr"/>
      <c r="E51" s="9" t="inlineStr"/>
      <c r="F51" s="9" t="inlineStr"/>
      <c r="G51" s="9" t="inlineStr"/>
      <c r="H51" s="9" t="inlineStr"/>
      <c r="I51" s="9" t="inlineStr"/>
    </row>
    <row r="52">
      <c r="A52" s="9" t="inlineStr"/>
      <c r="B52" s="10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</row>
    <row r="53">
      <c r="A53" s="9" t="inlineStr"/>
      <c r="B53" s="10" t="inlineStr"/>
      <c r="C53" s="9" t="inlineStr"/>
      <c r="D53" s="9" t="inlineStr"/>
      <c r="E53" s="9" t="inlineStr"/>
      <c r="F53" s="9" t="inlineStr"/>
      <c r="G53" s="9" t="inlineStr"/>
      <c r="H53" s="9" t="inlineStr"/>
      <c r="I53" s="9" t="inlineStr"/>
    </row>
    <row r="54">
      <c r="A54" s="9" t="inlineStr"/>
      <c r="B54" s="10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</row>
    <row r="55">
      <c r="A55" s="9" t="inlineStr"/>
      <c r="B55" s="10" t="inlineStr"/>
      <c r="C55" s="9" t="inlineStr"/>
      <c r="D55" s="9" t="inlineStr"/>
      <c r="E55" s="9" t="inlineStr"/>
      <c r="F55" s="9" t="inlineStr"/>
      <c r="G55" s="9" t="inlineStr"/>
      <c r="H55" s="9" t="inlineStr"/>
      <c r="I55" s="9" t="inlineStr"/>
    </row>
    <row r="56">
      <c r="A56" s="9" t="inlineStr"/>
      <c r="B56" s="10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</row>
    <row r="57">
      <c r="A57" s="9" t="inlineStr"/>
      <c r="B57" s="10" t="inlineStr"/>
      <c r="C57" s="9" t="inlineStr"/>
      <c r="D57" s="9" t="inlineStr"/>
      <c r="E57" s="9" t="inlineStr"/>
      <c r="F57" s="9" t="inlineStr"/>
      <c r="G57" s="9" t="inlineStr"/>
      <c r="H57" s="9" t="inlineStr"/>
      <c r="I57" s="9" t="inlineStr"/>
    </row>
    <row r="58">
      <c r="A58" s="9" t="inlineStr"/>
      <c r="B58" s="10" t="inlineStr"/>
      <c r="C58" s="9" t="inlineStr"/>
      <c r="D58" s="9" t="inlineStr"/>
      <c r="E58" s="9" t="inlineStr"/>
      <c r="F58" s="9" t="inlineStr"/>
      <c r="G58" s="9" t="inlineStr"/>
      <c r="H58" s="9" t="inlineStr"/>
      <c r="I58" s="9" t="inlineStr"/>
    </row>
    <row r="59">
      <c r="A59" s="9" t="inlineStr"/>
      <c r="B59" s="10" t="inlineStr"/>
      <c r="C59" s="9" t="inlineStr"/>
      <c r="D59" s="9" t="inlineStr"/>
      <c r="E59" s="9" t="inlineStr"/>
      <c r="F59" s="9" t="inlineStr"/>
      <c r="G59" s="9" t="inlineStr"/>
      <c r="H59" s="9" t="inlineStr"/>
      <c r="I59" s="9" t="inlineStr"/>
    </row>
    <row r="60">
      <c r="A60" s="9" t="inlineStr"/>
      <c r="B60" s="10" t="inlineStr"/>
      <c r="C60" s="9" t="inlineStr"/>
      <c r="D60" s="9" t="inlineStr"/>
      <c r="E60" s="9" t="inlineStr"/>
      <c r="F60" s="9" t="inlineStr"/>
      <c r="G60" s="9" t="inlineStr"/>
      <c r="H60" s="9" t="inlineStr"/>
      <c r="I60" s="9" t="inlineStr"/>
    </row>
    <row r="61">
      <c r="A61" s="9" t="inlineStr"/>
      <c r="B61" s="10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/>
    </row>
    <row r="62">
      <c r="A62" s="9" t="inlineStr"/>
      <c r="B62" s="10" t="inlineStr"/>
      <c r="C62" s="9" t="inlineStr"/>
      <c r="D62" s="9" t="inlineStr"/>
      <c r="E62" s="9" t="inlineStr"/>
      <c r="F62" s="9" t="inlineStr"/>
      <c r="G62" s="9" t="inlineStr"/>
      <c r="H62" s="9" t="inlineStr"/>
      <c r="I62" s="9" t="inlineStr"/>
    </row>
    <row r="63">
      <c r="A63" s="9" t="inlineStr"/>
      <c r="B63" s="10" t="inlineStr"/>
      <c r="C63" s="9" t="inlineStr"/>
      <c r="D63" s="9" t="inlineStr"/>
      <c r="E63" s="9" t="inlineStr"/>
      <c r="F63" s="9" t="inlineStr"/>
      <c r="G63" s="9" t="inlineStr"/>
      <c r="H63" s="9" t="inlineStr"/>
      <c r="I63" s="9" t="inlineStr"/>
    </row>
    <row r="64">
      <c r="A64" s="9" t="inlineStr"/>
      <c r="B64" s="10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</row>
    <row r="65">
      <c r="A65" s="9" t="inlineStr"/>
      <c r="B65" s="10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</row>
    <row r="66">
      <c r="A66" s="9" t="inlineStr"/>
      <c r="B66" s="10" t="inlineStr"/>
      <c r="C66" s="9" t="inlineStr"/>
      <c r="D66" s="9" t="inlineStr"/>
      <c r="E66" s="9" t="inlineStr"/>
      <c r="F66" s="9" t="inlineStr"/>
      <c r="G66" s="9" t="inlineStr"/>
      <c r="H66" s="9" t="inlineStr"/>
      <c r="I66" s="9" t="inlineStr"/>
    </row>
    <row r="67">
      <c r="A67" s="9" t="inlineStr"/>
      <c r="B67" s="10" t="inlineStr"/>
      <c r="C67" s="9" t="inlineStr"/>
      <c r="D67" s="9" t="inlineStr"/>
      <c r="E67" s="9" t="inlineStr"/>
      <c r="F67" s="9" t="inlineStr"/>
      <c r="G67" s="9" t="inlineStr"/>
      <c r="H67" s="9" t="inlineStr"/>
      <c r="I67" s="9" t="inlineStr"/>
    </row>
    <row r="68">
      <c r="A68" s="9" t="inlineStr"/>
      <c r="B68" s="10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</row>
    <row r="69">
      <c r="A69" s="9" t="inlineStr"/>
      <c r="B69" s="10" t="inlineStr"/>
      <c r="C69" s="9" t="inlineStr"/>
      <c r="D69" s="9" t="inlineStr"/>
      <c r="E69" s="9" t="inlineStr"/>
      <c r="F69" s="9" t="inlineStr"/>
      <c r="G69" s="9" t="inlineStr"/>
      <c r="H69" s="9" t="inlineStr"/>
      <c r="I69" s="9" t="inlineStr"/>
    </row>
    <row r="70">
      <c r="A70" s="9" t="inlineStr"/>
      <c r="B70" s="10" t="inlineStr"/>
      <c r="C70" s="9" t="inlineStr"/>
      <c r="D70" s="9" t="inlineStr"/>
      <c r="E70" s="9" t="inlineStr"/>
      <c r="F70" s="9" t="inlineStr"/>
      <c r="G70" s="9" t="inlineStr"/>
      <c r="H70" s="9" t="inlineStr"/>
      <c r="I70" s="9" t="inlineStr"/>
    </row>
    <row r="71">
      <c r="A71" s="9" t="inlineStr"/>
      <c r="B71" s="10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</row>
    <row r="72">
      <c r="A72" s="9" t="inlineStr"/>
      <c r="B72" s="10" t="inlineStr"/>
      <c r="C72" s="9" t="inlineStr"/>
      <c r="D72" s="9" t="inlineStr"/>
      <c r="E72" s="9" t="inlineStr"/>
      <c r="F72" s="9" t="inlineStr"/>
      <c r="G72" s="9" t="inlineStr"/>
      <c r="H72" s="9" t="inlineStr"/>
      <c r="I72" s="9" t="inlineStr"/>
    </row>
    <row r="73">
      <c r="A73" s="9" t="inlineStr"/>
      <c r="B73" s="10" t="inlineStr"/>
      <c r="C73" s="9" t="inlineStr"/>
      <c r="D73" s="9" t="inlineStr"/>
      <c r="E73" s="9" t="inlineStr"/>
      <c r="F73" s="9" t="inlineStr"/>
      <c r="G73" s="9" t="inlineStr"/>
      <c r="H73" s="9" t="inlineStr"/>
      <c r="I73" s="9" t="inlineStr"/>
    </row>
    <row r="74">
      <c r="A74" s="9" t="inlineStr"/>
      <c r="B74" s="10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</row>
    <row r="75">
      <c r="A75" s="9" t="inlineStr"/>
      <c r="B75" s="10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</row>
    <row r="76">
      <c r="A76" s="9" t="inlineStr"/>
      <c r="B76" s="10" t="inlineStr"/>
      <c r="C76" s="9" t="inlineStr"/>
      <c r="D76" s="9" t="inlineStr"/>
      <c r="E76" s="9" t="inlineStr"/>
      <c r="F76" s="9" t="inlineStr"/>
      <c r="G76" s="9" t="inlineStr"/>
      <c r="H76" s="9" t="inlineStr"/>
      <c r="I76" s="9" t="inlineStr"/>
    </row>
    <row r="77">
      <c r="A77" s="9" t="inlineStr"/>
      <c r="B77" s="10" t="inlineStr"/>
      <c r="C77" s="9" t="inlineStr"/>
      <c r="D77" s="9" t="inlineStr"/>
      <c r="E77" s="9" t="inlineStr"/>
      <c r="F77" s="9" t="inlineStr"/>
      <c r="G77" s="9" t="inlineStr"/>
      <c r="H77" s="9" t="inlineStr"/>
      <c r="I77" s="9" t="inlineStr"/>
    </row>
    <row r="78">
      <c r="A78" s="9" t="inlineStr"/>
      <c r="B78" s="10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</row>
    <row r="79">
      <c r="A79" s="9" t="inlineStr"/>
      <c r="B79" s="10" t="inlineStr"/>
      <c r="C79" s="9" t="inlineStr"/>
      <c r="D79" s="9" t="inlineStr"/>
      <c r="E79" s="9" t="inlineStr"/>
      <c r="F79" s="9" t="inlineStr"/>
      <c r="G79" s="9" t="inlineStr"/>
      <c r="H79" s="9" t="inlineStr"/>
      <c r="I79" s="9" t="inlineStr"/>
    </row>
    <row r="80">
      <c r="A80" s="9" t="inlineStr"/>
      <c r="B80" s="10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</row>
    <row r="81">
      <c r="A81" s="9" t="inlineStr"/>
      <c r="B81" s="10" t="inlineStr"/>
      <c r="C81" s="9" t="inlineStr"/>
      <c r="D81" s="9" t="inlineStr"/>
      <c r="E81" s="9" t="inlineStr"/>
      <c r="F81" s="9" t="inlineStr"/>
      <c r="G81" s="9" t="inlineStr"/>
      <c r="H81" s="9" t="inlineStr"/>
      <c r="I81" s="9" t="inlineStr"/>
    </row>
    <row r="82">
      <c r="A82" s="9" t="inlineStr"/>
      <c r="B82" s="10" t="inlineStr"/>
      <c r="C82" s="9" t="inlineStr"/>
      <c r="D82" s="9" t="inlineStr"/>
      <c r="E82" s="9" t="inlineStr"/>
      <c r="F82" s="9" t="inlineStr"/>
      <c r="G82" s="9" t="inlineStr"/>
      <c r="H82" s="9" t="inlineStr"/>
      <c r="I82" s="9" t="inlineStr"/>
    </row>
    <row r="83">
      <c r="A83" s="9" t="inlineStr"/>
      <c r="B83" s="10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</row>
    <row r="84">
      <c r="A84" s="9" t="inlineStr"/>
      <c r="B84" s="10" t="inlineStr"/>
      <c r="C84" s="9" t="inlineStr"/>
      <c r="D84" s="9" t="inlineStr"/>
      <c r="E84" s="9" t="inlineStr"/>
      <c r="F84" s="9" t="inlineStr"/>
      <c r="G84" s="9" t="inlineStr"/>
      <c r="H84" s="9" t="inlineStr"/>
      <c r="I84" s="9" t="inlineStr"/>
    </row>
    <row r="85">
      <c r="A85" s="9" t="inlineStr"/>
      <c r="B85" s="10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</row>
    <row r="86">
      <c r="A86" s="9" t="inlineStr"/>
      <c r="B86" s="10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</row>
    <row r="87">
      <c r="A87" s="9" t="inlineStr"/>
      <c r="B87" s="10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</row>
    <row r="88">
      <c r="A88" s="9" t="inlineStr"/>
      <c r="B88" s="10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</row>
    <row r="89">
      <c r="A89" s="9" t="inlineStr"/>
      <c r="B89" s="10" t="inlineStr"/>
      <c r="C89" s="9" t="inlineStr"/>
      <c r="D89" s="9" t="inlineStr"/>
      <c r="E89" s="9" t="inlineStr"/>
      <c r="F89" s="9" t="inlineStr"/>
      <c r="G89" s="9" t="inlineStr"/>
      <c r="H89" s="9" t="inlineStr"/>
      <c r="I89" s="9" t="inlineStr"/>
    </row>
    <row r="90">
      <c r="A90" s="9" t="inlineStr"/>
      <c r="B90" s="10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</row>
    <row r="91">
      <c r="A91" s="9" t="inlineStr"/>
      <c r="B91" s="10" t="inlineStr"/>
      <c r="C91" s="9" t="inlineStr"/>
      <c r="D91" s="9" t="inlineStr"/>
      <c r="E91" s="9" t="inlineStr"/>
      <c r="F91" s="9" t="inlineStr"/>
      <c r="G91" s="9" t="inlineStr"/>
      <c r="H91" s="9" t="inlineStr"/>
      <c r="I91" s="9" t="inlineStr"/>
    </row>
    <row r="92">
      <c r="A92" s="9" t="inlineStr"/>
      <c r="B92" s="10" t="inlineStr"/>
      <c r="C92" s="9" t="inlineStr"/>
      <c r="D92" s="9" t="inlineStr"/>
      <c r="E92" s="9" t="inlineStr"/>
      <c r="F92" s="9" t="inlineStr"/>
      <c r="G92" s="9" t="inlineStr"/>
      <c r="H92" s="9" t="inlineStr"/>
      <c r="I92" s="9" t="inlineStr"/>
    </row>
    <row r="93">
      <c r="A93" s="9" t="inlineStr"/>
      <c r="B93" s="10" t="inlineStr"/>
      <c r="C93" s="9" t="inlineStr"/>
      <c r="D93" s="9" t="inlineStr"/>
      <c r="E93" s="9" t="inlineStr"/>
      <c r="F93" s="9" t="inlineStr"/>
      <c r="G93" s="9" t="inlineStr"/>
      <c r="H93" s="9" t="inlineStr"/>
      <c r="I93" s="9" t="inlineStr"/>
    </row>
    <row r="94">
      <c r="A94" s="9" t="inlineStr"/>
      <c r="B94" s="10" t="inlineStr"/>
      <c r="C94" s="9" t="inlineStr"/>
      <c r="D94" s="9" t="inlineStr"/>
      <c r="E94" s="9" t="inlineStr"/>
      <c r="F94" s="9" t="inlineStr"/>
      <c r="G94" s="9" t="inlineStr"/>
      <c r="H94" s="9" t="inlineStr"/>
      <c r="I94" s="9" t="inlineStr"/>
    </row>
    <row r="95">
      <c r="A95" s="9" t="inlineStr"/>
      <c r="B95" s="10" t="inlineStr"/>
      <c r="C95" s="9" t="inlineStr"/>
      <c r="D95" s="9" t="inlineStr"/>
      <c r="E95" s="9" t="inlineStr"/>
      <c r="F95" s="9" t="inlineStr"/>
      <c r="G95" s="9" t="inlineStr"/>
      <c r="H95" s="9" t="inlineStr"/>
      <c r="I95" s="9" t="inlineStr"/>
    </row>
    <row r="96">
      <c r="A96" s="9" t="inlineStr"/>
      <c r="B96" s="10" t="inlineStr"/>
      <c r="C96" s="9" t="inlineStr"/>
      <c r="D96" s="9" t="inlineStr"/>
      <c r="E96" s="9" t="inlineStr"/>
      <c r="F96" s="9" t="inlineStr"/>
      <c r="G96" s="9" t="inlineStr"/>
      <c r="H96" s="9" t="inlineStr"/>
      <c r="I96" s="9" t="inlineStr"/>
    </row>
    <row r="97">
      <c r="A97" s="9" t="inlineStr"/>
      <c r="B97" s="10" t="inlineStr"/>
      <c r="C97" s="9" t="inlineStr"/>
      <c r="D97" s="9" t="inlineStr"/>
      <c r="E97" s="9" t="inlineStr"/>
      <c r="F97" s="9" t="inlineStr"/>
      <c r="G97" s="9" t="inlineStr"/>
      <c r="H97" s="9" t="inlineStr"/>
      <c r="I97" s="9" t="inlineStr"/>
    </row>
    <row r="98">
      <c r="A98" s="9" t="inlineStr"/>
      <c r="B98" s="10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</row>
    <row r="99">
      <c r="A99" s="9" t="inlineStr"/>
      <c r="B99" s="10" t="inlineStr"/>
      <c r="C99" s="9" t="inlineStr"/>
      <c r="D99" s="9" t="inlineStr"/>
      <c r="E99" s="9" t="inlineStr"/>
      <c r="F99" s="9" t="inlineStr"/>
      <c r="G99" s="9" t="inlineStr"/>
      <c r="H99" s="9" t="inlineStr"/>
      <c r="I99" s="9" t="inlineStr"/>
    </row>
    <row r="100">
      <c r="A100" s="9" t="inlineStr"/>
      <c r="B100" s="10" t="inlineStr"/>
      <c r="C100" s="9" t="inlineStr"/>
      <c r="D100" s="9" t="inlineStr"/>
      <c r="E100" s="9" t="inlineStr"/>
      <c r="F100" s="9" t="inlineStr"/>
      <c r="G100" s="9" t="inlineStr"/>
      <c r="H100" s="9" t="inlineStr"/>
      <c r="I100" s="9" t="inlineStr"/>
    </row>
    <row r="101">
      <c r="A101" s="9" t="inlineStr"/>
      <c r="B101" s="10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</row>
    <row r="102">
      <c r="A102" s="9" t="inlineStr"/>
      <c r="B102" s="10" t="inlineStr"/>
      <c r="C102" s="9" t="inlineStr"/>
      <c r="D102" s="9" t="inlineStr"/>
      <c r="E102" s="9" t="inlineStr"/>
      <c r="F102" s="9" t="inlineStr"/>
      <c r="G102" s="9" t="inlineStr"/>
      <c r="H102" s="9" t="inlineStr"/>
      <c r="I102" s="9" t="inlineStr"/>
    </row>
    <row r="103">
      <c r="A103" s="9" t="inlineStr"/>
      <c r="B103" s="10" t="inlineStr"/>
      <c r="C103" s="9" t="inlineStr"/>
      <c r="D103" s="9" t="inlineStr"/>
      <c r="E103" s="9" t="inlineStr"/>
      <c r="F103" s="9" t="inlineStr"/>
      <c r="G103" s="9" t="inlineStr"/>
      <c r="H103" s="9" t="inlineStr"/>
      <c r="I103" s="9" t="inlineStr"/>
    </row>
    <row r="104">
      <c r="A104" s="9" t="inlineStr"/>
      <c r="B104" s="10" t="inlineStr"/>
      <c r="C104" s="9" t="inlineStr"/>
      <c r="D104" s="9" t="inlineStr"/>
      <c r="E104" s="9" t="inlineStr"/>
      <c r="F104" s="9" t="inlineStr"/>
      <c r="G104" s="9" t="inlineStr"/>
      <c r="H104" s="9" t="inlineStr"/>
      <c r="I104" s="9" t="inlineStr"/>
    </row>
    <row r="105">
      <c r="A105" s="9" t="inlineStr"/>
      <c r="B105" s="10" t="inlineStr"/>
      <c r="C105" s="9" t="inlineStr"/>
      <c r="D105" s="9" t="inlineStr"/>
      <c r="E105" s="9" t="inlineStr"/>
      <c r="F105" s="9" t="inlineStr"/>
      <c r="G105" s="9" t="inlineStr"/>
      <c r="H105" s="9" t="inlineStr"/>
      <c r="I105" s="9" t="inlineStr"/>
    </row>
    <row r="106">
      <c r="A106" s="9" t="inlineStr"/>
      <c r="B106" s="10" t="inlineStr"/>
      <c r="C106" s="9" t="inlineStr"/>
      <c r="D106" s="9" t="inlineStr"/>
      <c r="E106" s="9" t="inlineStr"/>
      <c r="F106" s="9" t="inlineStr"/>
      <c r="G106" s="9" t="inlineStr"/>
      <c r="H106" s="9" t="inlineStr"/>
      <c r="I106" s="9" t="inlineStr"/>
    </row>
    <row r="107">
      <c r="A107" s="9" t="inlineStr"/>
      <c r="B107" s="10" t="inlineStr"/>
      <c r="C107" s="9" t="inlineStr"/>
      <c r="D107" s="9" t="inlineStr"/>
      <c r="E107" s="9" t="inlineStr"/>
      <c r="F107" s="9" t="inlineStr"/>
      <c r="G107" s="9" t="inlineStr"/>
      <c r="H107" s="9" t="inlineStr"/>
      <c r="I107" s="9" t="inlineStr"/>
    </row>
    <row r="108">
      <c r="A108" s="9" t="inlineStr"/>
      <c r="B108" s="10" t="inlineStr"/>
      <c r="C108" s="9" t="inlineStr"/>
      <c r="D108" s="9" t="inlineStr"/>
      <c r="E108" s="9" t="inlineStr"/>
      <c r="F108" s="9" t="inlineStr"/>
      <c r="G108" s="9" t="inlineStr"/>
      <c r="H108" s="9" t="inlineStr"/>
      <c r="I108" s="9" t="inlineStr"/>
    </row>
    <row r="109">
      <c r="A109" s="9" t="inlineStr"/>
      <c r="B109" s="10" t="inlineStr"/>
      <c r="C109" s="9" t="inlineStr"/>
      <c r="D109" s="9" t="inlineStr"/>
      <c r="E109" s="9" t="inlineStr"/>
      <c r="F109" s="9" t="inlineStr"/>
      <c r="G109" s="9" t="inlineStr"/>
      <c r="H109" s="9" t="inlineStr"/>
      <c r="I109" s="9" t="inlineStr"/>
    </row>
    <row r="110">
      <c r="A110" s="9" t="inlineStr"/>
      <c r="B110" s="10" t="inlineStr"/>
      <c r="C110" s="9" t="inlineStr"/>
      <c r="D110" s="9" t="inlineStr"/>
      <c r="E110" s="9" t="inlineStr"/>
      <c r="F110" s="9" t="inlineStr"/>
      <c r="G110" s="9" t="inlineStr"/>
      <c r="H110" s="9" t="inlineStr"/>
      <c r="I110" s="9" t="inlineStr"/>
    </row>
    <row r="111">
      <c r="A111" s="9" t="inlineStr"/>
      <c r="B111" s="10" t="inlineStr"/>
      <c r="C111" s="9" t="inlineStr"/>
      <c r="D111" s="9" t="inlineStr"/>
      <c r="E111" s="9" t="inlineStr"/>
      <c r="F111" s="9" t="inlineStr"/>
      <c r="G111" s="9" t="inlineStr"/>
      <c r="H111" s="9" t="inlineStr"/>
      <c r="I111" s="9" t="inlineStr"/>
    </row>
    <row r="112">
      <c r="A112" s="9" t="inlineStr"/>
      <c r="B112" s="10" t="inlineStr"/>
      <c r="C112" s="9" t="inlineStr"/>
      <c r="D112" s="9" t="inlineStr"/>
      <c r="E112" s="9" t="inlineStr"/>
      <c r="F112" s="9" t="inlineStr"/>
      <c r="G112" s="9" t="inlineStr"/>
      <c r="H112" s="9" t="inlineStr"/>
      <c r="I112" s="9" t="inlineStr"/>
    </row>
    <row r="113">
      <c r="A113" s="9" t="inlineStr"/>
      <c r="B113" s="10" t="inlineStr"/>
      <c r="C113" s="9" t="inlineStr"/>
      <c r="D113" s="9" t="inlineStr"/>
      <c r="E113" s="9" t="inlineStr"/>
      <c r="F113" s="9" t="inlineStr"/>
      <c r="G113" s="9" t="inlineStr"/>
      <c r="H113" s="9" t="inlineStr"/>
      <c r="I113" s="9" t="inlineStr"/>
    </row>
    <row r="114">
      <c r="A114" s="9" t="inlineStr"/>
      <c r="B114" s="10" t="inlineStr"/>
      <c r="C114" s="9" t="inlineStr"/>
      <c r="D114" s="9" t="inlineStr"/>
      <c r="E114" s="9" t="inlineStr"/>
      <c r="F114" s="9" t="inlineStr"/>
      <c r="G114" s="9" t="inlineStr"/>
      <c r="H114" s="9" t="inlineStr"/>
      <c r="I114" s="9" t="inlineStr"/>
    </row>
    <row r="115">
      <c r="A115" s="9" t="inlineStr"/>
      <c r="B115" s="10" t="inlineStr"/>
      <c r="C115" s="9" t="inlineStr"/>
      <c r="D115" s="9" t="inlineStr"/>
      <c r="E115" s="9" t="inlineStr"/>
      <c r="F115" s="9" t="inlineStr"/>
      <c r="G115" s="9" t="inlineStr"/>
      <c r="H115" s="9" t="inlineStr"/>
      <c r="I115" s="9" t="inlineStr"/>
    </row>
    <row r="116">
      <c r="A116" s="9" t="inlineStr"/>
      <c r="B116" s="10" t="inlineStr"/>
      <c r="C116" s="9" t="inlineStr"/>
      <c r="D116" s="9" t="inlineStr"/>
      <c r="E116" s="9" t="inlineStr"/>
      <c r="F116" s="9" t="inlineStr"/>
      <c r="G116" s="9" t="inlineStr"/>
      <c r="H116" s="9" t="inlineStr"/>
      <c r="I116" s="9" t="inlineStr"/>
    </row>
    <row r="117">
      <c r="A117" s="9" t="inlineStr"/>
      <c r="B117" s="10" t="inlineStr"/>
      <c r="C117" s="9" t="inlineStr"/>
      <c r="D117" s="9" t="inlineStr"/>
      <c r="E117" s="9" t="inlineStr"/>
      <c r="F117" s="9" t="inlineStr"/>
      <c r="G117" s="9" t="inlineStr"/>
      <c r="H117" s="9" t="inlineStr"/>
      <c r="I117" s="9" t="inlineStr"/>
    </row>
    <row r="118">
      <c r="A118" s="9" t="inlineStr"/>
      <c r="B118" s="10" t="inlineStr"/>
      <c r="C118" s="9" t="inlineStr"/>
      <c r="D118" s="9" t="inlineStr"/>
      <c r="E118" s="9" t="inlineStr"/>
      <c r="F118" s="9" t="inlineStr"/>
      <c r="G118" s="9" t="inlineStr"/>
      <c r="H118" s="9" t="inlineStr"/>
      <c r="I118" s="9" t="inlineStr"/>
    </row>
    <row r="119">
      <c r="A119" s="9" t="inlineStr"/>
      <c r="B119" s="10" t="inlineStr"/>
      <c r="C119" s="9" t="inlineStr"/>
      <c r="D119" s="9" t="inlineStr"/>
      <c r="E119" s="9" t="inlineStr"/>
      <c r="F119" s="9" t="inlineStr"/>
      <c r="G119" s="9" t="inlineStr"/>
      <c r="H119" s="9" t="inlineStr"/>
      <c r="I119" s="9" t="inlineStr"/>
    </row>
    <row r="120">
      <c r="A120" s="9" t="inlineStr"/>
      <c r="B120" s="10" t="inlineStr"/>
      <c r="C120" s="9" t="inlineStr"/>
      <c r="D120" s="9" t="inlineStr"/>
      <c r="E120" s="9" t="inlineStr"/>
      <c r="F120" s="9" t="inlineStr"/>
      <c r="G120" s="9" t="inlineStr"/>
      <c r="H120" s="9" t="inlineStr"/>
      <c r="I120" s="9" t="inlineStr"/>
    </row>
    <row r="121">
      <c r="A121" s="9" t="inlineStr"/>
      <c r="B121" s="10" t="inlineStr"/>
      <c r="C121" s="9" t="inlineStr"/>
      <c r="D121" s="9" t="inlineStr"/>
      <c r="E121" s="9" t="inlineStr"/>
      <c r="F121" s="9" t="inlineStr"/>
      <c r="G121" s="9" t="inlineStr"/>
      <c r="H121" s="9" t="inlineStr"/>
      <c r="I121" s="9" t="inlineStr"/>
    </row>
    <row r="122">
      <c r="A122" s="9" t="inlineStr"/>
      <c r="B122" s="10" t="inlineStr"/>
      <c r="C122" s="9" t="inlineStr"/>
      <c r="D122" s="9" t="inlineStr"/>
      <c r="E122" s="9" t="inlineStr"/>
      <c r="F122" s="9" t="inlineStr"/>
      <c r="G122" s="9" t="inlineStr"/>
      <c r="H122" s="9" t="inlineStr"/>
      <c r="I122" s="9" t="inlineStr"/>
    </row>
    <row r="123">
      <c r="A123" s="9" t="inlineStr"/>
      <c r="B123" s="10" t="inlineStr"/>
      <c r="C123" s="9" t="inlineStr"/>
      <c r="D123" s="9" t="inlineStr"/>
      <c r="E123" s="9" t="inlineStr"/>
      <c r="F123" s="9" t="inlineStr"/>
      <c r="G123" s="9" t="inlineStr"/>
      <c r="H123" s="9" t="inlineStr"/>
      <c r="I123" s="9" t="inlineStr"/>
    </row>
    <row r="124">
      <c r="A124" s="9" t="inlineStr"/>
      <c r="B124" s="10" t="inlineStr"/>
      <c r="C124" s="9" t="inlineStr"/>
      <c r="D124" s="9" t="inlineStr"/>
      <c r="E124" s="9" t="inlineStr"/>
      <c r="F124" s="9" t="inlineStr"/>
      <c r="G124" s="9" t="inlineStr"/>
      <c r="H124" s="9" t="inlineStr"/>
      <c r="I124" s="9" t="inlineStr"/>
    </row>
    <row r="125">
      <c r="A125" s="9" t="inlineStr"/>
      <c r="B125" s="10" t="inlineStr"/>
      <c r="C125" s="9" t="inlineStr"/>
      <c r="D125" s="9" t="inlineStr"/>
      <c r="E125" s="9" t="inlineStr"/>
      <c r="F125" s="9" t="inlineStr"/>
      <c r="G125" s="9" t="inlineStr"/>
      <c r="H125" s="9" t="inlineStr"/>
      <c r="I125" s="9" t="inlineStr"/>
    </row>
    <row r="126">
      <c r="A126" s="9" t="inlineStr"/>
      <c r="B126" s="10" t="inlineStr"/>
      <c r="C126" s="9" t="inlineStr"/>
      <c r="D126" s="9" t="inlineStr"/>
      <c r="E126" s="9" t="inlineStr"/>
      <c r="F126" s="9" t="inlineStr"/>
      <c r="G126" s="9" t="inlineStr"/>
      <c r="H126" s="9" t="inlineStr"/>
      <c r="I126" s="9" t="inlineStr"/>
    </row>
    <row r="127">
      <c r="A127" s="9" t="inlineStr"/>
      <c r="B127" s="10" t="inlineStr"/>
      <c r="C127" s="9" t="inlineStr"/>
      <c r="D127" s="9" t="inlineStr"/>
      <c r="E127" s="9" t="inlineStr"/>
      <c r="F127" s="9" t="inlineStr"/>
      <c r="G127" s="9" t="inlineStr"/>
      <c r="H127" s="9" t="inlineStr"/>
      <c r="I127" s="9" t="inlineStr"/>
    </row>
    <row r="128">
      <c r="A128" s="9" t="inlineStr"/>
      <c r="B128" s="10" t="inlineStr"/>
      <c r="C128" s="9" t="inlineStr"/>
      <c r="D128" s="9" t="inlineStr"/>
      <c r="E128" s="9" t="inlineStr"/>
      <c r="F128" s="9" t="inlineStr"/>
      <c r="G128" s="9" t="inlineStr"/>
      <c r="H128" s="9" t="inlineStr"/>
      <c r="I128" s="9" t="inlineStr"/>
    </row>
    <row r="129">
      <c r="A129" s="9" t="inlineStr"/>
      <c r="B129" s="10" t="inlineStr"/>
      <c r="C129" s="9" t="inlineStr"/>
      <c r="D129" s="9" t="inlineStr"/>
      <c r="E129" s="9" t="inlineStr"/>
      <c r="F129" s="9" t="inlineStr"/>
      <c r="G129" s="9" t="inlineStr"/>
      <c r="H129" s="9" t="inlineStr"/>
      <c r="I129" s="9" t="inlineStr"/>
    </row>
    <row r="130">
      <c r="A130" s="9" t="inlineStr"/>
      <c r="B130" s="10" t="inlineStr"/>
      <c r="C130" s="9" t="inlineStr"/>
      <c r="D130" s="9" t="inlineStr"/>
      <c r="E130" s="9" t="inlineStr"/>
      <c r="F130" s="9" t="inlineStr"/>
      <c r="G130" s="9" t="inlineStr"/>
      <c r="H130" s="9" t="inlineStr"/>
      <c r="I130" s="9" t="inlineStr"/>
    </row>
    <row r="131">
      <c r="A131" s="9" t="inlineStr"/>
      <c r="B131" s="10" t="inlineStr"/>
      <c r="C131" s="9" t="inlineStr"/>
      <c r="D131" s="9" t="inlineStr"/>
      <c r="E131" s="9" t="inlineStr"/>
      <c r="F131" s="9" t="inlineStr"/>
      <c r="G131" s="9" t="inlineStr"/>
      <c r="H131" s="9" t="inlineStr"/>
      <c r="I131" s="9" t="inlineStr"/>
    </row>
    <row r="132">
      <c r="A132" s="9" t="inlineStr"/>
      <c r="B132" s="10" t="inlineStr"/>
      <c r="C132" s="9" t="inlineStr"/>
      <c r="D132" s="9" t="inlineStr"/>
      <c r="E132" s="9" t="inlineStr"/>
      <c r="F132" s="9" t="inlineStr"/>
      <c r="G132" s="9" t="inlineStr"/>
      <c r="H132" s="9" t="inlineStr"/>
      <c r="I132" s="9" t="inlineStr"/>
    </row>
    <row r="133">
      <c r="A133" s="9" t="inlineStr"/>
      <c r="B133" s="10" t="inlineStr"/>
      <c r="C133" s="9" t="inlineStr"/>
      <c r="D133" s="9" t="inlineStr"/>
      <c r="E133" s="9" t="inlineStr"/>
      <c r="F133" s="9" t="inlineStr"/>
      <c r="G133" s="9" t="inlineStr"/>
      <c r="H133" s="9" t="inlineStr"/>
      <c r="I133" s="9" t="inlineStr"/>
    </row>
    <row r="134">
      <c r="A134" s="9" t="inlineStr"/>
      <c r="B134" s="10" t="inlineStr"/>
      <c r="C134" s="9" t="inlineStr"/>
      <c r="D134" s="9" t="inlineStr"/>
      <c r="E134" s="9" t="inlineStr"/>
      <c r="F134" s="9" t="inlineStr"/>
      <c r="G134" s="9" t="inlineStr"/>
      <c r="H134" s="9" t="inlineStr"/>
      <c r="I134" s="9" t="inlineStr"/>
    </row>
    <row r="135">
      <c r="A135" s="9" t="inlineStr"/>
      <c r="B135" s="10" t="inlineStr"/>
      <c r="C135" s="9" t="inlineStr"/>
      <c r="D135" s="9" t="inlineStr"/>
      <c r="E135" s="9" t="inlineStr"/>
      <c r="F135" s="9" t="inlineStr"/>
      <c r="G135" s="9" t="inlineStr"/>
      <c r="H135" s="9" t="inlineStr"/>
      <c r="I135" s="9" t="inlineStr"/>
    </row>
    <row r="136">
      <c r="A136" s="9" t="inlineStr"/>
      <c r="B136" s="10" t="inlineStr"/>
      <c r="C136" s="9" t="inlineStr"/>
      <c r="D136" s="9" t="inlineStr"/>
      <c r="E136" s="9" t="inlineStr"/>
      <c r="F136" s="9" t="inlineStr"/>
      <c r="G136" s="9" t="inlineStr"/>
      <c r="H136" s="9" t="inlineStr"/>
      <c r="I136" s="9" t="inlineStr"/>
    </row>
    <row r="137">
      <c r="A137" s="9" t="inlineStr"/>
      <c r="B137" s="10" t="inlineStr"/>
      <c r="C137" s="9" t="inlineStr"/>
      <c r="D137" s="9" t="inlineStr"/>
      <c r="E137" s="9" t="inlineStr"/>
      <c r="F137" s="9" t="inlineStr"/>
      <c r="G137" s="9" t="inlineStr"/>
      <c r="H137" s="9" t="inlineStr"/>
      <c r="I137" s="9" t="inlineStr"/>
    </row>
    <row r="138">
      <c r="A138" s="9" t="inlineStr"/>
      <c r="B138" s="10" t="inlineStr"/>
      <c r="C138" s="9" t="inlineStr"/>
      <c r="D138" s="9" t="inlineStr"/>
      <c r="E138" s="9" t="inlineStr"/>
      <c r="F138" s="9" t="inlineStr"/>
      <c r="G138" s="9" t="inlineStr"/>
      <c r="H138" s="9" t="inlineStr"/>
      <c r="I138" s="9" t="inlineStr"/>
    </row>
    <row r="139">
      <c r="A139" s="9" t="inlineStr"/>
      <c r="B139" s="10" t="inlineStr"/>
      <c r="C139" s="9" t="inlineStr"/>
      <c r="D139" s="9" t="inlineStr"/>
      <c r="E139" s="9" t="inlineStr"/>
      <c r="F139" s="9" t="inlineStr"/>
      <c r="G139" s="9" t="inlineStr"/>
      <c r="H139" s="9" t="inlineStr"/>
      <c r="I139" s="9" t="inlineStr"/>
    </row>
    <row r="140">
      <c r="A140" s="9" t="inlineStr"/>
      <c r="B140" s="10" t="inlineStr"/>
      <c r="C140" s="9" t="inlineStr"/>
      <c r="D140" s="9" t="inlineStr"/>
      <c r="E140" s="9" t="inlineStr"/>
      <c r="F140" s="9" t="inlineStr"/>
      <c r="G140" s="9" t="inlineStr"/>
      <c r="H140" s="9" t="inlineStr"/>
      <c r="I140" s="9" t="inlineStr"/>
    </row>
    <row r="141">
      <c r="A141" s="9" t="inlineStr"/>
      <c r="B141" s="10" t="inlineStr"/>
      <c r="C141" s="9" t="inlineStr"/>
      <c r="D141" s="9" t="inlineStr"/>
      <c r="E141" s="9" t="inlineStr"/>
      <c r="F141" s="9" t="inlineStr"/>
      <c r="G141" s="9" t="inlineStr"/>
      <c r="H141" s="9" t="inlineStr"/>
      <c r="I141" s="9" t="inlineStr"/>
    </row>
    <row r="142">
      <c r="A142" s="9" t="inlineStr"/>
      <c r="B142" s="10" t="inlineStr"/>
      <c r="C142" s="9" t="inlineStr"/>
      <c r="D142" s="9" t="inlineStr"/>
      <c r="E142" s="9" t="inlineStr"/>
      <c r="F142" s="9" t="inlineStr"/>
      <c r="G142" s="9" t="inlineStr"/>
      <c r="H142" s="9" t="inlineStr"/>
      <c r="I142" s="9" t="inlineStr"/>
    </row>
    <row r="143">
      <c r="A143" s="9" t="inlineStr"/>
      <c r="B143" s="10" t="inlineStr"/>
      <c r="C143" s="9" t="inlineStr"/>
      <c r="D143" s="9" t="inlineStr"/>
      <c r="E143" s="9" t="inlineStr"/>
      <c r="F143" s="9" t="inlineStr"/>
      <c r="G143" s="9" t="inlineStr"/>
      <c r="H143" s="9" t="inlineStr"/>
      <c r="I143" s="9" t="inlineStr"/>
    </row>
    <row r="144">
      <c r="A144" s="9" t="inlineStr"/>
      <c r="B144" s="10" t="inlineStr"/>
      <c r="C144" s="9" t="inlineStr"/>
      <c r="D144" s="9" t="inlineStr"/>
      <c r="E144" s="9" t="inlineStr"/>
      <c r="F144" s="9" t="inlineStr"/>
      <c r="G144" s="9" t="inlineStr"/>
      <c r="H144" s="9" t="inlineStr"/>
      <c r="I144" s="9" t="inlineStr"/>
    </row>
    <row r="145">
      <c r="A145" s="9" t="inlineStr"/>
      <c r="B145" s="10" t="inlineStr"/>
      <c r="C145" s="9" t="inlineStr"/>
      <c r="D145" s="9" t="inlineStr"/>
      <c r="E145" s="9" t="inlineStr"/>
      <c r="F145" s="9" t="inlineStr"/>
      <c r="G145" s="9" t="inlineStr"/>
      <c r="H145" s="9" t="inlineStr"/>
      <c r="I145" s="9" t="inlineStr"/>
    </row>
    <row r="146">
      <c r="A146" s="9" t="inlineStr"/>
      <c r="B146" s="10" t="inlineStr"/>
      <c r="C146" s="9" t="inlineStr"/>
      <c r="D146" s="9" t="inlineStr"/>
      <c r="E146" s="9" t="inlineStr"/>
      <c r="F146" s="9" t="inlineStr"/>
      <c r="G146" s="9" t="inlineStr"/>
      <c r="H146" s="9" t="inlineStr"/>
      <c r="I146" s="9" t="inlineStr"/>
    </row>
    <row r="147">
      <c r="A147" s="9" t="inlineStr"/>
      <c r="B147" s="10" t="inlineStr"/>
      <c r="C147" s="9" t="inlineStr"/>
      <c r="D147" s="9" t="inlineStr"/>
      <c r="E147" s="9" t="inlineStr"/>
      <c r="F147" s="9" t="inlineStr"/>
      <c r="G147" s="9" t="inlineStr"/>
      <c r="H147" s="9" t="inlineStr"/>
      <c r="I147" s="9" t="inlineStr"/>
    </row>
    <row r="148">
      <c r="A148" s="9" t="inlineStr"/>
      <c r="B148" s="10" t="inlineStr"/>
      <c r="C148" s="9" t="inlineStr"/>
      <c r="D148" s="9" t="inlineStr"/>
      <c r="E148" s="9" t="inlineStr"/>
      <c r="F148" s="9" t="inlineStr"/>
      <c r="G148" s="9" t="inlineStr"/>
      <c r="H148" s="9" t="inlineStr"/>
      <c r="I148" s="9" t="inlineStr"/>
    </row>
    <row r="149">
      <c r="A149" s="9" t="inlineStr"/>
      <c r="B149" s="10" t="inlineStr"/>
      <c r="C149" s="9" t="inlineStr"/>
      <c r="D149" s="9" t="inlineStr"/>
      <c r="E149" s="9" t="inlineStr"/>
      <c r="F149" s="9" t="inlineStr"/>
      <c r="G149" s="9" t="inlineStr"/>
      <c r="H149" s="9" t="inlineStr"/>
      <c r="I149" s="9" t="inlineStr"/>
    </row>
    <row r="150">
      <c r="A150" s="9" t="inlineStr"/>
      <c r="B150" s="10" t="inlineStr"/>
      <c r="C150" s="9" t="inlineStr"/>
      <c r="D150" s="9" t="inlineStr"/>
      <c r="E150" s="9" t="inlineStr"/>
      <c r="F150" s="9" t="inlineStr"/>
      <c r="G150" s="9" t="inlineStr"/>
      <c r="H150" s="9" t="inlineStr"/>
      <c r="I150" s="9" t="inlineStr"/>
    </row>
    <row r="151">
      <c r="A151" s="9" t="inlineStr"/>
      <c r="B151" s="10" t="inlineStr"/>
      <c r="C151" s="9" t="inlineStr"/>
      <c r="D151" s="9" t="inlineStr"/>
      <c r="E151" s="9" t="inlineStr"/>
      <c r="F151" s="9" t="inlineStr"/>
      <c r="G151" s="9" t="inlineStr"/>
      <c r="H151" s="9" t="inlineStr"/>
      <c r="I151" s="9" t="inlineStr"/>
    </row>
    <row r="152">
      <c r="A152" s="9" t="inlineStr"/>
      <c r="B152" s="10" t="inlineStr"/>
      <c r="C152" s="9" t="inlineStr"/>
      <c r="D152" s="9" t="inlineStr"/>
      <c r="E152" s="9" t="inlineStr"/>
      <c r="F152" s="9" t="inlineStr"/>
      <c r="G152" s="9" t="inlineStr"/>
      <c r="H152" s="9" t="inlineStr"/>
      <c r="I152" s="9" t="inlineStr"/>
    </row>
    <row r="153">
      <c r="A153" s="9" t="inlineStr"/>
      <c r="B153" s="10" t="inlineStr"/>
      <c r="C153" s="9" t="inlineStr"/>
      <c r="D153" s="9" t="inlineStr"/>
      <c r="E153" s="9" t="inlineStr"/>
      <c r="F153" s="9" t="inlineStr"/>
      <c r="G153" s="9" t="inlineStr"/>
      <c r="H153" s="9" t="inlineStr"/>
      <c r="I153" s="9" t="inlineStr"/>
    </row>
    <row r="154">
      <c r="A154" s="9" t="inlineStr"/>
      <c r="B154" s="10" t="inlineStr"/>
      <c r="C154" s="9" t="inlineStr"/>
      <c r="D154" s="9" t="inlineStr"/>
      <c r="E154" s="9" t="inlineStr"/>
      <c r="F154" s="9" t="inlineStr"/>
      <c r="G154" s="9" t="inlineStr"/>
      <c r="H154" s="9" t="inlineStr"/>
      <c r="I154" s="9" t="inlineStr"/>
    </row>
    <row r="155">
      <c r="A155" s="9" t="inlineStr"/>
      <c r="B155" s="10" t="inlineStr"/>
      <c r="C155" s="9" t="inlineStr"/>
      <c r="D155" s="9" t="inlineStr"/>
      <c r="E155" s="9" t="inlineStr"/>
      <c r="F155" s="9" t="inlineStr"/>
      <c r="G155" s="9" t="inlineStr"/>
      <c r="H155" s="9" t="inlineStr"/>
      <c r="I155" s="9" t="inlineStr"/>
    </row>
    <row r="156">
      <c r="A156" s="9" t="inlineStr"/>
      <c r="B156" s="10" t="inlineStr"/>
      <c r="C156" s="9" t="inlineStr"/>
      <c r="D156" s="9" t="inlineStr"/>
      <c r="E156" s="9" t="inlineStr"/>
      <c r="F156" s="9" t="inlineStr"/>
      <c r="G156" s="9" t="inlineStr"/>
      <c r="H156" s="9" t="inlineStr"/>
      <c r="I156" s="9" t="inlineStr"/>
    </row>
    <row r="157">
      <c r="A157" s="9" t="inlineStr"/>
      <c r="B157" s="10" t="inlineStr"/>
      <c r="C157" s="9" t="inlineStr"/>
      <c r="D157" s="9" t="inlineStr"/>
      <c r="E157" s="9" t="inlineStr"/>
      <c r="F157" s="9" t="inlineStr"/>
      <c r="G157" s="9" t="inlineStr"/>
      <c r="H157" s="9" t="inlineStr"/>
      <c r="I157" s="9" t="inlineStr"/>
    </row>
    <row r="158">
      <c r="A158" s="9" t="inlineStr"/>
      <c r="B158" s="10" t="inlineStr"/>
      <c r="C158" s="9" t="inlineStr"/>
      <c r="D158" s="9" t="inlineStr"/>
      <c r="E158" s="9" t="inlineStr"/>
      <c r="F158" s="9" t="inlineStr"/>
      <c r="G158" s="9" t="inlineStr"/>
      <c r="H158" s="9" t="inlineStr"/>
      <c r="I158" s="9" t="inlineStr"/>
    </row>
    <row r="159">
      <c r="A159" s="9" t="inlineStr"/>
      <c r="B159" s="10" t="inlineStr"/>
      <c r="C159" s="9" t="inlineStr"/>
      <c r="D159" s="9" t="inlineStr"/>
      <c r="E159" s="9" t="inlineStr"/>
      <c r="F159" s="9" t="inlineStr"/>
      <c r="G159" s="9" t="inlineStr"/>
      <c r="H159" s="9" t="inlineStr"/>
      <c r="I159" s="9" t="inlineStr"/>
    </row>
    <row r="160">
      <c r="A160" s="9" t="inlineStr"/>
      <c r="B160" s="10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/>
    </row>
    <row r="161">
      <c r="A161" s="9" t="inlineStr"/>
      <c r="B161" s="10" t="inlineStr"/>
      <c r="C161" s="9" t="inlineStr"/>
      <c r="D161" s="9" t="inlineStr"/>
      <c r="E161" s="9" t="inlineStr"/>
      <c r="F161" s="9" t="inlineStr"/>
      <c r="G161" s="9" t="inlineStr"/>
      <c r="H161" s="9" t="inlineStr"/>
      <c r="I161" s="9" t="inlineStr"/>
    </row>
    <row r="162">
      <c r="A162" s="9" t="inlineStr"/>
      <c r="B162" s="10" t="inlineStr"/>
      <c r="C162" s="9" t="inlineStr"/>
      <c r="D162" s="9" t="inlineStr"/>
      <c r="E162" s="9" t="inlineStr"/>
      <c r="F162" s="9" t="inlineStr"/>
      <c r="G162" s="9" t="inlineStr"/>
      <c r="H162" s="9" t="inlineStr"/>
      <c r="I162" s="9" t="inlineStr"/>
    </row>
    <row r="163">
      <c r="A163" s="9" t="inlineStr"/>
      <c r="B163" s="10" t="inlineStr"/>
      <c r="C163" s="9" t="inlineStr"/>
      <c r="D163" s="9" t="inlineStr"/>
      <c r="E163" s="9" t="inlineStr"/>
      <c r="F163" s="9" t="inlineStr"/>
      <c r="G163" s="9" t="inlineStr"/>
      <c r="H163" s="9" t="inlineStr"/>
      <c r="I163" s="9" t="inlineStr"/>
    </row>
    <row r="164">
      <c r="A164" s="9" t="inlineStr"/>
      <c r="B164" s="10" t="inlineStr"/>
      <c r="C164" s="9" t="inlineStr"/>
      <c r="D164" s="9" t="inlineStr"/>
      <c r="E164" s="9" t="inlineStr"/>
      <c r="F164" s="9" t="inlineStr"/>
      <c r="G164" s="9" t="inlineStr"/>
      <c r="H164" s="9" t="inlineStr"/>
      <c r="I164" s="9" t="inlineStr"/>
    </row>
    <row r="165">
      <c r="A165" s="9" t="inlineStr"/>
      <c r="B165" s="10" t="inlineStr"/>
      <c r="C165" s="9" t="inlineStr"/>
      <c r="D165" s="9" t="inlineStr"/>
      <c r="E165" s="9" t="inlineStr"/>
      <c r="F165" s="9" t="inlineStr"/>
      <c r="G165" s="9" t="inlineStr"/>
      <c r="H165" s="9" t="inlineStr"/>
      <c r="I165" s="9" t="inlineStr"/>
    </row>
    <row r="166">
      <c r="A166" s="9" t="inlineStr"/>
      <c r="B166" s="10" t="inlineStr"/>
      <c r="C166" s="9" t="inlineStr"/>
      <c r="D166" s="9" t="inlineStr"/>
      <c r="E166" s="9" t="inlineStr"/>
      <c r="F166" s="9" t="inlineStr"/>
      <c r="G166" s="9" t="inlineStr"/>
      <c r="H166" s="9" t="inlineStr"/>
      <c r="I166" s="9" t="inlineStr"/>
    </row>
    <row r="167">
      <c r="A167" s="9" t="inlineStr"/>
      <c r="B167" s="10" t="inlineStr"/>
      <c r="C167" s="9" t="inlineStr"/>
      <c r="D167" s="9" t="inlineStr"/>
      <c r="E167" s="9" t="inlineStr"/>
      <c r="F167" s="9" t="inlineStr"/>
      <c r="G167" s="9" t="inlineStr"/>
      <c r="H167" s="9" t="inlineStr"/>
      <c r="I167" s="9" t="inlineStr"/>
    </row>
    <row r="168">
      <c r="A168" s="9" t="inlineStr"/>
      <c r="B168" s="10" t="inlineStr"/>
      <c r="C168" s="9" t="inlineStr"/>
      <c r="D168" s="9" t="inlineStr"/>
      <c r="E168" s="9" t="inlineStr"/>
      <c r="F168" s="9" t="inlineStr"/>
      <c r="G168" s="9" t="inlineStr"/>
      <c r="H168" s="9" t="inlineStr"/>
      <c r="I168" s="9" t="inlineStr"/>
    </row>
    <row r="169">
      <c r="A169" s="9" t="inlineStr"/>
      <c r="B169" s="10" t="inlineStr"/>
      <c r="C169" s="9" t="inlineStr"/>
      <c r="D169" s="9" t="inlineStr"/>
      <c r="E169" s="9" t="inlineStr"/>
      <c r="F169" s="9" t="inlineStr"/>
      <c r="G169" s="9" t="inlineStr"/>
      <c r="H169" s="9" t="inlineStr"/>
      <c r="I169" s="9" t="inlineStr"/>
    </row>
    <row r="170">
      <c r="A170" s="9" t="inlineStr"/>
      <c r="B170" s="10" t="inlineStr"/>
      <c r="C170" s="9" t="inlineStr"/>
      <c r="D170" s="9" t="inlineStr"/>
      <c r="E170" s="9" t="inlineStr"/>
      <c r="F170" s="9" t="inlineStr"/>
      <c r="G170" s="9" t="inlineStr"/>
      <c r="H170" s="9" t="inlineStr"/>
      <c r="I170" s="9" t="inlineStr"/>
    </row>
    <row r="171">
      <c r="A171" s="9" t="inlineStr"/>
      <c r="B171" s="10" t="inlineStr"/>
      <c r="C171" s="9" t="inlineStr"/>
      <c r="D171" s="9" t="inlineStr"/>
      <c r="E171" s="9" t="inlineStr"/>
      <c r="F171" s="9" t="inlineStr"/>
      <c r="G171" s="9" t="inlineStr"/>
      <c r="H171" s="9" t="inlineStr"/>
      <c r="I171" s="9" t="inlineStr"/>
    </row>
    <row r="172">
      <c r="A172" s="9" t="inlineStr"/>
      <c r="B172" s="10" t="inlineStr"/>
      <c r="C172" s="9" t="inlineStr"/>
      <c r="D172" s="9" t="inlineStr"/>
      <c r="E172" s="9" t="inlineStr"/>
      <c r="F172" s="9" t="inlineStr"/>
      <c r="G172" s="9" t="inlineStr"/>
      <c r="H172" s="9" t="inlineStr"/>
      <c r="I172" s="9" t="inlineStr"/>
    </row>
    <row r="173">
      <c r="A173" s="9" t="inlineStr"/>
      <c r="B173" s="10" t="inlineStr"/>
      <c r="C173" s="9" t="inlineStr"/>
      <c r="D173" s="9" t="inlineStr"/>
      <c r="E173" s="9" t="inlineStr"/>
      <c r="F173" s="9" t="inlineStr"/>
      <c r="G173" s="9" t="inlineStr"/>
      <c r="H173" s="9" t="inlineStr"/>
      <c r="I173" s="9" t="inlineStr"/>
    </row>
    <row r="174">
      <c r="A174" s="9" t="inlineStr"/>
      <c r="B174" s="10" t="inlineStr"/>
      <c r="C174" s="9" t="inlineStr"/>
      <c r="D174" s="9" t="inlineStr"/>
      <c r="E174" s="9" t="inlineStr"/>
      <c r="F174" s="9" t="inlineStr"/>
      <c r="G174" s="9" t="inlineStr"/>
      <c r="H174" s="9" t="inlineStr"/>
      <c r="I174" s="9" t="inlineStr"/>
    </row>
    <row r="175">
      <c r="A175" s="9" t="inlineStr"/>
      <c r="B175" s="10" t="inlineStr"/>
      <c r="C175" s="9" t="inlineStr"/>
      <c r="D175" s="9" t="inlineStr"/>
      <c r="E175" s="9" t="inlineStr"/>
      <c r="F175" s="9" t="inlineStr"/>
      <c r="G175" s="9" t="inlineStr"/>
      <c r="H175" s="9" t="inlineStr"/>
      <c r="I175" s="9" t="inlineStr"/>
    </row>
    <row r="176">
      <c r="A176" s="9" t="inlineStr"/>
      <c r="B176" s="10" t="inlineStr"/>
      <c r="C176" s="9" t="inlineStr"/>
      <c r="D176" s="9" t="inlineStr"/>
      <c r="E176" s="9" t="inlineStr"/>
      <c r="F176" s="9" t="inlineStr"/>
      <c r="G176" s="9" t="inlineStr"/>
      <c r="H176" s="9" t="inlineStr"/>
      <c r="I176" s="9" t="inlineStr"/>
    </row>
    <row r="177">
      <c r="A177" s="9" t="inlineStr"/>
      <c r="B177" s="10" t="inlineStr"/>
      <c r="C177" s="9" t="inlineStr"/>
      <c r="D177" s="9" t="inlineStr"/>
      <c r="E177" s="9" t="inlineStr"/>
      <c r="F177" s="9" t="inlineStr"/>
      <c r="G177" s="9" t="inlineStr"/>
      <c r="H177" s="9" t="inlineStr"/>
      <c r="I177" s="9" t="inlineStr"/>
    </row>
    <row r="178">
      <c r="A178" s="9" t="inlineStr"/>
      <c r="B178" s="10" t="inlineStr"/>
      <c r="C178" s="9" t="inlineStr"/>
      <c r="D178" s="9" t="inlineStr"/>
      <c r="E178" s="9" t="inlineStr"/>
      <c r="F178" s="9" t="inlineStr"/>
      <c r="G178" s="9" t="inlineStr"/>
      <c r="H178" s="9" t="inlineStr"/>
      <c r="I178" s="9" t="inlineStr"/>
    </row>
    <row r="179">
      <c r="A179" s="9" t="inlineStr"/>
      <c r="B179" s="10" t="inlineStr"/>
      <c r="C179" s="9" t="inlineStr"/>
      <c r="D179" s="9" t="inlineStr"/>
      <c r="E179" s="9" t="inlineStr"/>
      <c r="F179" s="9" t="inlineStr"/>
      <c r="G179" s="9" t="inlineStr"/>
      <c r="H179" s="9" t="inlineStr"/>
      <c r="I179" s="9" t="inlineStr"/>
    </row>
    <row r="180">
      <c r="A180" s="9" t="inlineStr"/>
      <c r="B180" s="10" t="inlineStr"/>
      <c r="C180" s="9" t="inlineStr"/>
      <c r="D180" s="9" t="inlineStr"/>
      <c r="E180" s="9" t="inlineStr"/>
      <c r="F180" s="9" t="inlineStr"/>
      <c r="G180" s="9" t="inlineStr"/>
      <c r="H180" s="9" t="inlineStr"/>
      <c r="I180" s="9" t="inlineStr"/>
    </row>
    <row r="181">
      <c r="A181" s="9" t="inlineStr"/>
      <c r="B181" s="10" t="inlineStr"/>
      <c r="C181" s="9" t="inlineStr"/>
      <c r="D181" s="9" t="inlineStr"/>
      <c r="E181" s="9" t="inlineStr"/>
      <c r="F181" s="9" t="inlineStr"/>
      <c r="G181" s="9" t="inlineStr"/>
      <c r="H181" s="9" t="inlineStr"/>
      <c r="I181" s="9" t="inlineStr"/>
    </row>
    <row r="182">
      <c r="A182" s="9" t="inlineStr"/>
      <c r="B182" s="10" t="inlineStr"/>
      <c r="C182" s="9" t="inlineStr"/>
      <c r="D182" s="9" t="inlineStr"/>
      <c r="E182" s="9" t="inlineStr"/>
      <c r="F182" s="9" t="inlineStr"/>
      <c r="G182" s="9" t="inlineStr"/>
      <c r="H182" s="9" t="inlineStr"/>
      <c r="I182" s="9" t="inlineStr"/>
    </row>
    <row r="183">
      <c r="A183" s="9" t="inlineStr"/>
      <c r="B183" s="10" t="inlineStr"/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</row>
    <row r="184">
      <c r="A184" s="9" t="inlineStr"/>
      <c r="B184" s="10" t="inlineStr"/>
      <c r="C184" s="9" t="inlineStr"/>
      <c r="D184" s="9" t="inlineStr"/>
      <c r="E184" s="9" t="inlineStr"/>
      <c r="F184" s="9" t="inlineStr"/>
      <c r="G184" s="9" t="inlineStr"/>
      <c r="H184" s="9" t="inlineStr"/>
      <c r="I184" s="9" t="inlineStr"/>
    </row>
    <row r="185">
      <c r="A185" s="9" t="inlineStr"/>
      <c r="B185" s="10" t="inlineStr"/>
      <c r="C185" s="9" t="inlineStr"/>
      <c r="D185" s="9" t="inlineStr"/>
      <c r="E185" s="9" t="inlineStr"/>
      <c r="F185" s="9" t="inlineStr"/>
      <c r="G185" s="9" t="inlineStr"/>
      <c r="H185" s="9" t="inlineStr"/>
      <c r="I185" s="9" t="inlineStr"/>
    </row>
    <row r="186">
      <c r="A186" s="9" t="inlineStr"/>
      <c r="B186" s="10" t="inlineStr"/>
      <c r="C186" s="9" t="inlineStr"/>
      <c r="D186" s="9" t="inlineStr"/>
      <c r="E186" s="9" t="inlineStr"/>
      <c r="F186" s="9" t="inlineStr"/>
      <c r="G186" s="9" t="inlineStr"/>
      <c r="H186" s="9" t="inlineStr"/>
      <c r="I186" s="9" t="inlineStr"/>
    </row>
    <row r="187">
      <c r="A187" s="9" t="inlineStr"/>
      <c r="B187" s="10" t="inlineStr"/>
      <c r="C187" s="9" t="inlineStr"/>
      <c r="D187" s="9" t="inlineStr"/>
      <c r="E187" s="9" t="inlineStr"/>
      <c r="F187" s="9" t="inlineStr"/>
      <c r="G187" s="9" t="inlineStr"/>
      <c r="H187" s="9" t="inlineStr"/>
      <c r="I187" s="9" t="inlineStr"/>
    </row>
    <row r="188">
      <c r="A188" s="9" t="inlineStr"/>
      <c r="B188" s="10" t="inlineStr"/>
      <c r="C188" s="9" t="inlineStr"/>
      <c r="D188" s="9" t="inlineStr"/>
      <c r="E188" s="9" t="inlineStr"/>
      <c r="F188" s="9" t="inlineStr"/>
      <c r="G188" s="9" t="inlineStr"/>
      <c r="H188" s="9" t="inlineStr"/>
      <c r="I188" s="9" t="inlineStr"/>
    </row>
    <row r="189">
      <c r="A189" s="9" t="inlineStr"/>
      <c r="B189" s="10" t="inlineStr"/>
      <c r="C189" s="9" t="inlineStr"/>
      <c r="D189" s="9" t="inlineStr"/>
      <c r="E189" s="9" t="inlineStr"/>
      <c r="F189" s="9" t="inlineStr"/>
      <c r="G189" s="9" t="inlineStr"/>
      <c r="H189" s="9" t="inlineStr"/>
      <c r="I189" s="9" t="inlineStr"/>
    </row>
    <row r="190">
      <c r="A190" s="9" t="inlineStr"/>
      <c r="B190" s="10" t="inlineStr"/>
      <c r="C190" s="9" t="inlineStr"/>
      <c r="D190" s="9" t="inlineStr"/>
      <c r="E190" s="9" t="inlineStr"/>
      <c r="F190" s="9" t="inlineStr"/>
      <c r="G190" s="9" t="inlineStr"/>
      <c r="H190" s="9" t="inlineStr"/>
      <c r="I190" s="9" t="inlineStr"/>
    </row>
    <row r="191">
      <c r="A191" s="9" t="inlineStr"/>
      <c r="B191" s="10" t="inlineStr"/>
      <c r="C191" s="9" t="inlineStr"/>
      <c r="D191" s="9" t="inlineStr"/>
      <c r="E191" s="9" t="inlineStr"/>
      <c r="F191" s="9" t="inlineStr"/>
      <c r="G191" s="9" t="inlineStr"/>
      <c r="H191" s="9" t="inlineStr"/>
      <c r="I191" s="9" t="inlineStr"/>
    </row>
    <row r="192">
      <c r="A192" s="9" t="inlineStr"/>
      <c r="B192" s="10" t="inlineStr"/>
      <c r="C192" s="9" t="inlineStr"/>
      <c r="D192" s="9" t="inlineStr"/>
      <c r="E192" s="9" t="inlineStr"/>
      <c r="F192" s="9" t="inlineStr"/>
      <c r="G192" s="9" t="inlineStr"/>
      <c r="H192" s="9" t="inlineStr"/>
      <c r="I192" s="9" t="inlineStr"/>
    </row>
    <row r="193">
      <c r="A193" s="9" t="inlineStr"/>
      <c r="B193" s="10" t="inlineStr"/>
      <c r="C193" s="9" t="inlineStr"/>
      <c r="D193" s="9" t="inlineStr"/>
      <c r="E193" s="9" t="inlineStr"/>
      <c r="F193" s="9" t="inlineStr"/>
      <c r="G193" s="9" t="inlineStr"/>
      <c r="H193" s="9" t="inlineStr"/>
      <c r="I193" s="9" t="inlineStr"/>
    </row>
    <row r="194">
      <c r="A194" s="9" t="inlineStr"/>
      <c r="B194" s="10" t="inlineStr"/>
      <c r="C194" s="9" t="inlineStr"/>
      <c r="D194" s="9" t="inlineStr"/>
      <c r="E194" s="9" t="inlineStr"/>
      <c r="F194" s="9" t="inlineStr"/>
      <c r="G194" s="9" t="inlineStr"/>
      <c r="H194" s="9" t="inlineStr"/>
      <c r="I194" s="9" t="inlineStr"/>
    </row>
    <row r="195">
      <c r="A195" s="9" t="inlineStr"/>
      <c r="B195" s="10" t="inlineStr"/>
      <c r="C195" s="9" t="inlineStr"/>
      <c r="D195" s="9" t="inlineStr"/>
      <c r="E195" s="9" t="inlineStr"/>
      <c r="F195" s="9" t="inlineStr"/>
      <c r="G195" s="9" t="inlineStr"/>
      <c r="H195" s="9" t="inlineStr"/>
      <c r="I195" s="9" t="inlineStr"/>
    </row>
    <row r="196">
      <c r="A196" s="9" t="inlineStr"/>
      <c r="B196" s="10" t="inlineStr"/>
      <c r="C196" s="9" t="inlineStr"/>
      <c r="D196" s="9" t="inlineStr"/>
      <c r="E196" s="9" t="inlineStr"/>
      <c r="F196" s="9" t="inlineStr"/>
      <c r="G196" s="9" t="inlineStr"/>
      <c r="H196" s="9" t="inlineStr"/>
      <c r="I196" s="9" t="inlineStr"/>
    </row>
    <row r="197">
      <c r="A197" s="9" t="inlineStr"/>
      <c r="B197" s="10" t="inlineStr"/>
      <c r="C197" s="9" t="inlineStr"/>
      <c r="D197" s="9" t="inlineStr"/>
      <c r="E197" s="9" t="inlineStr"/>
      <c r="F197" s="9" t="inlineStr"/>
      <c r="G197" s="9" t="inlineStr"/>
      <c r="H197" s="9" t="inlineStr"/>
      <c r="I197" s="9" t="inlineStr"/>
    </row>
    <row r="198">
      <c r="A198" s="9" t="inlineStr"/>
      <c r="B198" s="10" t="inlineStr"/>
      <c r="C198" s="9" t="inlineStr"/>
      <c r="D198" s="9" t="inlineStr"/>
      <c r="E198" s="9" t="inlineStr"/>
      <c r="F198" s="9" t="inlineStr"/>
      <c r="G198" s="9" t="inlineStr"/>
      <c r="H198" s="9" t="inlineStr"/>
      <c r="I198" s="9" t="inlineStr"/>
    </row>
    <row r="199">
      <c r="A199" s="9" t="inlineStr"/>
      <c r="B199" s="10" t="inlineStr"/>
      <c r="C199" s="9" t="inlineStr"/>
      <c r="D199" s="9" t="inlineStr"/>
      <c r="E199" s="9" t="inlineStr"/>
      <c r="F199" s="9" t="inlineStr"/>
      <c r="G199" s="9" t="inlineStr"/>
      <c r="H199" s="9" t="inlineStr"/>
      <c r="I199" s="9" t="inlineStr"/>
    </row>
    <row r="200">
      <c r="A200" s="9" t="inlineStr"/>
      <c r="B200" s="10" t="inlineStr"/>
      <c r="C200" s="9" t="inlineStr"/>
      <c r="D200" s="9" t="inlineStr"/>
      <c r="E200" s="9" t="inlineStr"/>
      <c r="F200" s="9" t="inlineStr"/>
      <c r="G200" s="9" t="inlineStr"/>
      <c r="H200" s="9" t="inlineStr"/>
      <c r="I200" s="9" t="inlineStr"/>
    </row>
  </sheetData>
  <dataValidations count="2">
    <dataValidation sqref="A2:A200" showDropDown="0" showInputMessage="0" showErrorMessage="0" allowBlank="1" type="list">
      <formula1>'تنظیمات'!$A$3:$A$7</formula1>
    </dataValidation>
    <dataValidation sqref="I2:I200" showDropDown="0" showInputMessage="0" showErrorMessage="0" allowBlank="1" type="list">
      <formula1>'تنظیمات'!$B$2:$B$6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گزارشات خودکار بر اساس شیت «کارهای 1405»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8" t="inlineStr">
        <is>
          <t>شرکت</t>
        </is>
      </c>
      <c r="B3" s="8" t="inlineStr">
        <is>
          <t>کل کارها</t>
        </is>
      </c>
      <c r="C3" s="8" t="inlineStr">
        <is>
          <t>باز</t>
        </is>
      </c>
      <c r="D3" s="8" t="inlineStr">
        <is>
          <t>در حال انجام</t>
        </is>
      </c>
      <c r="E3" s="8" t="inlineStr">
        <is>
          <t>انجام شده</t>
        </is>
      </c>
      <c r="F3" s="8" t="inlineStr">
        <is>
          <t>عقب‌افتاده</t>
        </is>
      </c>
      <c r="G3" s="8" t="inlineStr">
        <is>
          <t>تا ۷ روز</t>
        </is>
      </c>
      <c r="H3" s="8" t="inlineStr">
        <is>
          <t>نرخ انجام</t>
        </is>
      </c>
    </row>
    <row r="4">
      <c r="A4" s="9" t="inlineStr">
        <is>
          <t>موسسه شهر کتاب مرکزی</t>
        </is>
      </c>
      <c r="B4" s="9">
        <f>COUNTIF('کارهای 1405'!$B:$B,A4)</f>
        <v/>
      </c>
      <c r="C4" s="9">
        <f>COUNTIFS('کارهای 1405'!$B:$B,A4,'کارهای 1405'!$L:$L,"باز")</f>
        <v/>
      </c>
      <c r="D4" s="9">
        <f>COUNTIFS('کارهای 1405'!$B:$B,A4,'کارهای 1405'!$L:$L,"در حال انجام")</f>
        <v/>
      </c>
      <c r="E4" s="9">
        <f>COUNTIFS('کارهای 1405'!$B:$B,A4,'کارهای 1405'!$L:$L,"انجام شده")</f>
        <v/>
      </c>
      <c r="F4" s="9">
        <f>COUNTIFS('کارهای 1405'!$B:$B,A4,'کارهای 1405'!$M:$M,"عقب‌افتاده")</f>
        <v/>
      </c>
      <c r="G4" s="9">
        <f>COUNTIFS('کارهای 1405'!$B:$B,A4,'کارهای 1405'!$M:$M,"تا ۷ روز")</f>
        <v/>
      </c>
      <c r="H4" s="13">
        <f>IFERROR(E4/B4,0)</f>
        <v/>
      </c>
    </row>
    <row r="5">
      <c r="A5" s="9" t="inlineStr">
        <is>
          <t>فروشگاه شهر کتاب مرکزی</t>
        </is>
      </c>
      <c r="B5" s="9">
        <f>COUNTIF('کارهای 1405'!$B:$B,A5)</f>
        <v/>
      </c>
      <c r="C5" s="9">
        <f>COUNTIFS('کارهای 1405'!$B:$B,A5,'کارهای 1405'!$L:$L,"باز")</f>
        <v/>
      </c>
      <c r="D5" s="9">
        <f>COUNTIFS('کارهای 1405'!$B:$B,A5,'کارهای 1405'!$L:$L,"در حال انجام")</f>
        <v/>
      </c>
      <c r="E5" s="9">
        <f>COUNTIFS('کارهای 1405'!$B:$B,A5,'کارهای 1405'!$L:$L,"انجام شده")</f>
        <v/>
      </c>
      <c r="F5" s="9">
        <f>COUNTIFS('کارهای 1405'!$B:$B,A5,'کارهای 1405'!$M:$M,"عقب‌افتاده")</f>
        <v/>
      </c>
      <c r="G5" s="9">
        <f>COUNTIFS('کارهای 1405'!$B:$B,A5,'کارهای 1405'!$M:$M,"تا ۷ روز")</f>
        <v/>
      </c>
      <c r="H5" s="13">
        <f>IFERROR(E5/B5,0)</f>
        <v/>
      </c>
    </row>
    <row r="6">
      <c r="A6" s="9" t="inlineStr">
        <is>
          <t>رستگار صنعت پارس</t>
        </is>
      </c>
      <c r="B6" s="9">
        <f>COUNTIF('کارهای 1405'!$B:$B,A6)</f>
        <v/>
      </c>
      <c r="C6" s="9">
        <f>COUNTIFS('کارهای 1405'!$B:$B,A6,'کارهای 1405'!$L:$L,"باز")</f>
        <v/>
      </c>
      <c r="D6" s="9">
        <f>COUNTIFS('کارهای 1405'!$B:$B,A6,'کارهای 1405'!$L:$L,"در حال انجام")</f>
        <v/>
      </c>
      <c r="E6" s="9">
        <f>COUNTIFS('کارهای 1405'!$B:$B,A6,'کارهای 1405'!$L:$L,"انجام شده")</f>
        <v/>
      </c>
      <c r="F6" s="9">
        <f>COUNTIFS('کارهای 1405'!$B:$B,A6,'کارهای 1405'!$M:$M,"عقب‌افتاده")</f>
        <v/>
      </c>
      <c r="G6" s="9">
        <f>COUNTIFS('کارهای 1405'!$B:$B,A6,'کارهای 1405'!$M:$M,"تا ۷ روز")</f>
        <v/>
      </c>
      <c r="H6" s="13">
        <f>IFERROR(E6/B6,0)</f>
        <v/>
      </c>
    </row>
    <row r="7">
      <c r="A7" s="9" t="inlineStr">
        <is>
          <t>کیوان الکترونیک ایرانیان</t>
        </is>
      </c>
      <c r="B7" s="9">
        <f>COUNTIF('کارهای 1405'!$B:$B,A7)</f>
        <v/>
      </c>
      <c r="C7" s="9">
        <f>COUNTIFS('کارهای 1405'!$B:$B,A7,'کارهای 1405'!$L:$L,"باز")</f>
        <v/>
      </c>
      <c r="D7" s="9">
        <f>COUNTIFS('کارهای 1405'!$B:$B,A7,'کارهای 1405'!$L:$L,"در حال انجام")</f>
        <v/>
      </c>
      <c r="E7" s="9">
        <f>COUNTIFS('کارهای 1405'!$B:$B,A7,'کارهای 1405'!$L:$L,"انجام شده")</f>
        <v/>
      </c>
      <c r="F7" s="9">
        <f>COUNTIFS('کارهای 1405'!$B:$B,A7,'کارهای 1405'!$M:$M,"عقب‌افتاده")</f>
        <v/>
      </c>
      <c r="G7" s="9">
        <f>COUNTIFS('کارهای 1405'!$B:$B,A7,'کارهای 1405'!$M:$M,"تا ۷ روز")</f>
        <v/>
      </c>
      <c r="H7" s="13">
        <f>IFERROR(E7/B7,0)</f>
        <v/>
      </c>
    </row>
    <row r="8">
      <c r="A8" s="9" t="inlineStr">
        <is>
          <t>کیهان توسعه البرز</t>
        </is>
      </c>
      <c r="B8" s="9">
        <f>COUNTIF('کارهای 1405'!$B:$B,A8)</f>
        <v/>
      </c>
      <c r="C8" s="9">
        <f>COUNTIFS('کارهای 1405'!$B:$B,A8,'کارهای 1405'!$L:$L,"باز")</f>
        <v/>
      </c>
      <c r="D8" s="9">
        <f>COUNTIFS('کارهای 1405'!$B:$B,A8,'کارهای 1405'!$L:$L,"در حال انجام")</f>
        <v/>
      </c>
      <c r="E8" s="9">
        <f>COUNTIFS('کارهای 1405'!$B:$B,A8,'کارهای 1405'!$L:$L,"انجام شده")</f>
        <v/>
      </c>
      <c r="F8" s="9">
        <f>COUNTIFS('کارهای 1405'!$B:$B,A8,'کارهای 1405'!$M:$M,"عقب‌افتاده")</f>
        <v/>
      </c>
      <c r="G8" s="9">
        <f>COUNTIFS('کارهای 1405'!$B:$B,A8,'کارهای 1405'!$M:$M,"تا ۷ روز")</f>
        <v/>
      </c>
      <c r="H8" s="13">
        <f>IFERROR(E8/B8,0)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گروه کار</t>
        </is>
      </c>
      <c r="B11" s="8" t="inlineStr">
        <is>
          <t>کل</t>
        </is>
      </c>
      <c r="C11" s="8" t="inlineStr">
        <is>
          <t>باز</t>
        </is>
      </c>
      <c r="D11" s="8" t="inlineStr">
        <is>
          <t>در حال انجام</t>
        </is>
      </c>
      <c r="E11" s="8" t="inlineStr">
        <is>
          <t>انجام شده</t>
        </is>
      </c>
      <c r="F11" s="8" t="inlineStr">
        <is>
          <t>عقب‌افتاده</t>
        </is>
      </c>
      <c r="G11" s="8" t="n"/>
      <c r="H11" s="8" t="n"/>
    </row>
    <row r="12">
      <c r="A12" s="9" t="inlineStr">
        <is>
          <t>پایان ماه</t>
        </is>
      </c>
      <c r="B12" s="9">
        <f>COUNTIF('کارهای 1405'!$C:$C,A12)</f>
        <v/>
      </c>
      <c r="C12" s="9">
        <f>COUNTIFS('کارهای 1405'!$C:$C,A12,'کارهای 1405'!$L:$L,"باز")</f>
        <v/>
      </c>
      <c r="D12" s="9">
        <f>COUNTIFS('کارهای 1405'!$C:$C,A12,'کارهای 1405'!$L:$L,"در حال انجام")</f>
        <v/>
      </c>
      <c r="E12" s="9">
        <f>COUNTIFS('کارهای 1405'!$C:$C,A12,'کارهای 1405'!$L:$L,"انجام شده")</f>
        <v/>
      </c>
      <c r="F12" s="9">
        <f>COUNTIFS('کارهای 1405'!$C:$C,A12,'کارهای 1405'!$M:$M,"عقب‌افتاده")</f>
        <v/>
      </c>
      <c r="G12" s="9" t="n"/>
      <c r="H12" s="9" t="n"/>
    </row>
    <row r="13">
      <c r="A13" s="9" t="inlineStr">
        <is>
          <t>گزارش</t>
        </is>
      </c>
      <c r="B13" s="9">
        <f>COUNTIF('کارهای 1405'!$C:$C,A13)</f>
        <v/>
      </c>
      <c r="C13" s="9">
        <f>COUNTIFS('کارهای 1405'!$C:$C,A13,'کارهای 1405'!$L:$L,"باز")</f>
        <v/>
      </c>
      <c r="D13" s="9">
        <f>COUNTIFS('کارهای 1405'!$C:$C,A13,'کارهای 1405'!$L:$L,"در حال انجام")</f>
        <v/>
      </c>
      <c r="E13" s="9">
        <f>COUNTIFS('کارهای 1405'!$C:$C,A13,'کارهای 1405'!$L:$L,"انجام شده")</f>
        <v/>
      </c>
      <c r="F13" s="9">
        <f>COUNTIFS('کارهای 1405'!$C:$C,A13,'کارهای 1405'!$M:$M,"عقب‌افتاده")</f>
        <v/>
      </c>
      <c r="G13" s="9" t="n"/>
      <c r="H13" s="9" t="n"/>
    </row>
    <row r="14">
      <c r="A14" s="9" t="inlineStr">
        <is>
          <t>حقوق و دستمزد</t>
        </is>
      </c>
      <c r="B14" s="9">
        <f>COUNTIF('کارهای 1405'!$C:$C,A14)</f>
        <v/>
      </c>
      <c r="C14" s="9">
        <f>COUNTIFS('کارهای 1405'!$C:$C,A14,'کارهای 1405'!$L:$L,"باز")</f>
        <v/>
      </c>
      <c r="D14" s="9">
        <f>COUNTIFS('کارهای 1405'!$C:$C,A14,'کارهای 1405'!$L:$L,"در حال انجام")</f>
        <v/>
      </c>
      <c r="E14" s="9">
        <f>COUNTIFS('کارهای 1405'!$C:$C,A14,'کارهای 1405'!$L:$L,"انجام شده")</f>
        <v/>
      </c>
      <c r="F14" s="9">
        <f>COUNTIFS('کارهای 1405'!$C:$C,A14,'کارهای 1405'!$M:$M,"عقب‌افتاده")</f>
        <v/>
      </c>
      <c r="G14" s="9" t="n"/>
      <c r="H14" s="9" t="n"/>
    </row>
    <row r="15">
      <c r="A15" s="9" t="inlineStr">
        <is>
          <t>بایگانی</t>
        </is>
      </c>
      <c r="B15" s="9">
        <f>COUNTIF('کارهای 1405'!$C:$C,A15)</f>
        <v/>
      </c>
      <c r="C15" s="9">
        <f>COUNTIFS('کارهای 1405'!$C:$C,A15,'کارهای 1405'!$L:$L,"باز")</f>
        <v/>
      </c>
      <c r="D15" s="9">
        <f>COUNTIFS('کارهای 1405'!$C:$C,A15,'کارهای 1405'!$L:$L,"در حال انجام")</f>
        <v/>
      </c>
      <c r="E15" s="9">
        <f>COUNTIFS('کارهای 1405'!$C:$C,A15,'کارهای 1405'!$L:$L,"انجام شده")</f>
        <v/>
      </c>
      <c r="F15" s="9">
        <f>COUNTIFS('کارهای 1405'!$C:$C,A15,'کارهای 1405'!$M:$M,"عقب‌افتاده")</f>
        <v/>
      </c>
      <c r="G15" s="9" t="n"/>
      <c r="H15" s="9" t="n"/>
    </row>
    <row r="16">
      <c r="A16" s="9" t="inlineStr">
        <is>
          <t>مالیات</t>
        </is>
      </c>
      <c r="B16" s="9">
        <f>COUNTIF('کارهای 1405'!$C:$C,A16)</f>
        <v/>
      </c>
      <c r="C16" s="9">
        <f>COUNTIFS('کارهای 1405'!$C:$C,A16,'کارهای 1405'!$L:$L,"باز")</f>
        <v/>
      </c>
      <c r="D16" s="9">
        <f>COUNTIFS('کارهای 1405'!$C:$C,A16,'کارهای 1405'!$L:$L,"در حال انجام")</f>
        <v/>
      </c>
      <c r="E16" s="9">
        <f>COUNTIFS('کارهای 1405'!$C:$C,A16,'کارهای 1405'!$L:$L,"انجام شده")</f>
        <v/>
      </c>
      <c r="F16" s="9">
        <f>COUNTIFS('کارهای 1405'!$C:$C,A16,'کارهای 1405'!$M:$M,"عقب‌افتاده")</f>
        <v/>
      </c>
      <c r="G16" s="9" t="n"/>
      <c r="H16" s="9" t="n"/>
    </row>
    <row r="17">
      <c r="A17" s="9" t="inlineStr">
        <is>
          <t>کنترل فصلی</t>
        </is>
      </c>
      <c r="B17" s="9">
        <f>COUNTIF('کارهای 1405'!$C:$C,A17)</f>
        <v/>
      </c>
      <c r="C17" s="9">
        <f>COUNTIFS('کارهای 1405'!$C:$C,A17,'کارهای 1405'!$L:$L,"باز")</f>
        <v/>
      </c>
      <c r="D17" s="9">
        <f>COUNTIFS('کارهای 1405'!$C:$C,A17,'کارهای 1405'!$L:$L,"در حال انجام")</f>
        <v/>
      </c>
      <c r="E17" s="9">
        <f>COUNTIFS('کارهای 1405'!$C:$C,A17,'کارهای 1405'!$L:$L,"انجام شده")</f>
        <v/>
      </c>
      <c r="F17" s="9">
        <f>COUNTIFS('کارهای 1405'!$C:$C,A17,'کارهای 1405'!$M:$M,"عقب‌افتاده")</f>
        <v/>
      </c>
      <c r="G17" s="9" t="n"/>
      <c r="H17" s="9" t="n"/>
    </row>
    <row r="18">
      <c r="A18" s="9" t="inlineStr">
        <is>
          <t>سالانه</t>
        </is>
      </c>
      <c r="B18" s="9">
        <f>COUNTIF('کارهای 1405'!$C:$C,A18)</f>
        <v/>
      </c>
      <c r="C18" s="9">
        <f>COUNTIFS('کارهای 1405'!$C:$C,A18,'کارهای 1405'!$L:$L,"باز")</f>
        <v/>
      </c>
      <c r="D18" s="9">
        <f>COUNTIFS('کارهای 1405'!$C:$C,A18,'کارهای 1405'!$L:$L,"در حال انجام")</f>
        <v/>
      </c>
      <c r="E18" s="9">
        <f>COUNTIFS('کارهای 1405'!$C:$C,A18,'کارهای 1405'!$L:$L,"انجام شده")</f>
        <v/>
      </c>
      <c r="F18" s="9">
        <f>COUNTIFS('کارهای 1405'!$C:$C,A18,'کارهای 1405'!$M:$M,"عقب‌افتاده")</f>
        <v/>
      </c>
      <c r="G18" s="9" t="n"/>
      <c r="H18" s="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شرکت‌ها</t>
        </is>
      </c>
      <c r="B1" s="8" t="inlineStr">
        <is>
          <t>وضعیت کار</t>
        </is>
      </c>
      <c r="C1" s="8" t="inlineStr">
        <is>
          <t>اولویت</t>
        </is>
      </c>
      <c r="D1" s="8" t="inlineStr">
        <is>
          <t>تناوب</t>
        </is>
      </c>
      <c r="E1" s="8" t="inlineStr">
        <is>
          <t>گروه کار</t>
        </is>
      </c>
      <c r="F1" s="8" t="inlineStr">
        <is>
          <t>بازه حضور</t>
        </is>
      </c>
      <c r="G1" s="8" t="inlineStr">
        <is>
          <t>وضعیت پیگیری</t>
        </is>
      </c>
      <c r="H1" s="8" t="inlineStr">
        <is>
          <t>درصد پیشرفت</t>
        </is>
      </c>
    </row>
    <row r="2">
      <c r="A2" s="9" t="inlineStr">
        <is>
          <t>همه شرکت‌ها</t>
        </is>
      </c>
      <c r="B2" s="9" t="inlineStr">
        <is>
          <t>باز</t>
        </is>
      </c>
      <c r="C2" s="9" t="inlineStr">
        <is>
          <t>خیلی بالا</t>
        </is>
      </c>
      <c r="D2" s="9" t="inlineStr">
        <is>
          <t>حضور/روزانه</t>
        </is>
      </c>
      <c r="E2" s="9" t="inlineStr">
        <is>
          <t>حضور/روزانه</t>
        </is>
      </c>
      <c r="F2" s="9" t="inlineStr">
        <is>
          <t>کامل</t>
        </is>
      </c>
      <c r="G2" s="9" t="inlineStr">
        <is>
          <t>باز</t>
        </is>
      </c>
      <c r="H2" s="9" t="n">
        <v>0</v>
      </c>
    </row>
    <row r="3">
      <c r="A3" s="9" t="inlineStr">
        <is>
          <t>موسسه شهر کتاب مرکزی</t>
        </is>
      </c>
      <c r="B3" s="9" t="inlineStr">
        <is>
          <t>در حال انجام</t>
        </is>
      </c>
      <c r="C3" s="9" t="inlineStr">
        <is>
          <t>بالا</t>
        </is>
      </c>
      <c r="D3" s="9" t="inlineStr">
        <is>
          <t>هفتگی</t>
        </is>
      </c>
      <c r="E3" s="9" t="inlineStr">
        <is>
          <t>پایان ماه</t>
        </is>
      </c>
      <c r="F3" s="9" t="inlineStr">
        <is>
          <t>صبح / نصف‌روز</t>
        </is>
      </c>
      <c r="G3" s="9" t="inlineStr">
        <is>
          <t>در حال پیگیری</t>
        </is>
      </c>
      <c r="H3" s="9" t="n">
        <v>25</v>
      </c>
    </row>
    <row r="4">
      <c r="A4" s="9" t="inlineStr">
        <is>
          <t>فروشگاه شهر کتاب مرکزی</t>
        </is>
      </c>
      <c r="B4" s="9" t="inlineStr">
        <is>
          <t>انجام شده</t>
        </is>
      </c>
      <c r="C4" s="9" t="inlineStr">
        <is>
          <t>متوسط</t>
        </is>
      </c>
      <c r="D4" s="9" t="inlineStr">
        <is>
          <t>ماهانه</t>
        </is>
      </c>
      <c r="E4" s="9" t="inlineStr">
        <is>
          <t>گزارش</t>
        </is>
      </c>
      <c r="F4" s="9" t="inlineStr">
        <is>
          <t>عصر / نصف‌روز</t>
        </is>
      </c>
      <c r="G4" s="9" t="inlineStr">
        <is>
          <t>انجام شده</t>
        </is>
      </c>
      <c r="H4" s="9" t="n">
        <v>50</v>
      </c>
    </row>
    <row r="5">
      <c r="A5" s="9" t="inlineStr">
        <is>
          <t>رستگار صنعت پارس</t>
        </is>
      </c>
      <c r="B5" s="9" t="inlineStr">
        <is>
          <t>معوق</t>
        </is>
      </c>
      <c r="C5" s="9" t="inlineStr">
        <is>
          <t>پایین</t>
        </is>
      </c>
      <c r="D5" s="9" t="inlineStr">
        <is>
          <t>فصلی</t>
        </is>
      </c>
      <c r="E5" s="9" t="inlineStr">
        <is>
          <t>حقوق و دستمزد</t>
        </is>
      </c>
      <c r="F5" s="9" t="inlineStr">
        <is>
          <t>نامشخص</t>
        </is>
      </c>
      <c r="G5" s="9" t="inlineStr">
        <is>
          <t>بسته شده</t>
        </is>
      </c>
      <c r="H5" s="9" t="n">
        <v>75</v>
      </c>
    </row>
    <row r="6">
      <c r="A6" s="9" t="inlineStr">
        <is>
          <t>کیوان الکترونیک ایرانیان</t>
        </is>
      </c>
      <c r="B6" s="9" t="inlineStr">
        <is>
          <t>لغو شده</t>
        </is>
      </c>
      <c r="C6" s="9" t="n"/>
      <c r="D6" s="9" t="inlineStr">
        <is>
          <t>سالانه</t>
        </is>
      </c>
      <c r="E6" s="9" t="inlineStr">
        <is>
          <t>بایگانی</t>
        </is>
      </c>
      <c r="F6" s="9" t="n"/>
      <c r="G6" s="9" t="inlineStr">
        <is>
          <t>لغو شده</t>
        </is>
      </c>
      <c r="H6" s="9" t="n">
        <v>100</v>
      </c>
    </row>
    <row r="7">
      <c r="A7" s="9" t="inlineStr">
        <is>
          <t>کیهان توسعه البرز</t>
        </is>
      </c>
      <c r="B7" s="9" t="n"/>
      <c r="C7" s="9" t="n"/>
      <c r="D7" s="9" t="inlineStr">
        <is>
          <t>موردی</t>
        </is>
      </c>
      <c r="E7" s="9" t="inlineStr">
        <is>
          <t>مالیات</t>
        </is>
      </c>
      <c r="F7" s="9" t="n"/>
      <c r="G7" s="9" t="n"/>
      <c r="H7" s="9" t="n"/>
    </row>
    <row r="8">
      <c r="A8" s="9" t="n"/>
      <c r="B8" s="9" t="n"/>
      <c r="C8" s="9" t="n"/>
      <c r="D8" s="9" t="n"/>
      <c r="E8" s="9" t="inlineStr">
        <is>
          <t>کنترل فصلی</t>
        </is>
      </c>
      <c r="F8" s="9" t="n"/>
      <c r="G8" s="9" t="n"/>
      <c r="H8" s="9" t="n"/>
    </row>
    <row r="9">
      <c r="A9" s="9" t="n"/>
      <c r="B9" s="9" t="n"/>
      <c r="C9" s="9" t="n"/>
      <c r="D9" s="9" t="n"/>
      <c r="E9" s="9" t="inlineStr">
        <is>
          <t>سالانه</t>
        </is>
      </c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25" customWidth="1" min="4" max="4"/>
    <col width="24" customWidth="1" min="5" max="5"/>
    <col width="14" customWidth="1" min="6" max="6"/>
  </cols>
  <sheetData>
    <row r="1">
      <c r="A1" s="12" t="inlineStr">
        <is>
          <t>راهنما، فرضیات و منابع فایل</t>
        </is>
      </c>
      <c r="B1" s="9" t="n"/>
      <c r="C1" s="9" t="n"/>
      <c r="D1" s="9" t="n"/>
      <c r="E1" s="9" t="n"/>
      <c r="F1" s="9" t="n"/>
    </row>
    <row r="2">
      <c r="A2" s="9" t="inlineStr">
        <is>
          <t>موضوع</t>
        </is>
      </c>
      <c r="B2" s="9" t="inlineStr">
        <is>
          <t>توضیح</t>
        </is>
      </c>
      <c r="C2" s="9" t="inlineStr">
        <is>
          <t>منبع/لینک</t>
        </is>
      </c>
      <c r="D2" s="9" t="inlineStr">
        <is>
          <t>نیاز به کنترل کاربر</t>
        </is>
      </c>
      <c r="E2" s="9" t="inlineStr">
        <is>
          <t>یادداشت</t>
        </is>
      </c>
      <c r="F2" s="9" t="inlineStr">
        <is>
          <t>اولویت</t>
        </is>
      </c>
    </row>
    <row r="3">
      <c r="A3" s="8" t="inlineStr">
        <is>
          <t>مبنای طراحی</t>
        </is>
      </c>
      <c r="B3" s="8" t="inlineStr">
        <is>
          <t>براساس فایل متنی ارسالی درباره مدیریت حسابداری ۵ شرکت، سررسیدها و داشبورد دائمی طراحی شده است.</t>
        </is>
      </c>
      <c r="C3" s="8" t="inlineStr"/>
      <c r="D3" s="8" t="inlineStr">
        <is>
          <t>خیر</t>
        </is>
      </c>
      <c r="E3" s="8" t="inlineStr">
        <is>
          <t>سال کاری ۱۴۰۵</t>
        </is>
      </c>
      <c r="F3" s="8" t="inlineStr">
        <is>
          <t>بالا</t>
        </is>
      </c>
    </row>
    <row r="4">
      <c r="A4" s="9" t="inlineStr">
        <is>
          <t>لیست بیمه تأمین اجتماعی</t>
        </is>
      </c>
      <c r="B4" s="9" t="inlineStr">
        <is>
          <t>به‌صورت پیش‌فرض برای هر ماه تا پایان ماه بعد برنامه‌ریزی شده است.</t>
        </is>
      </c>
      <c r="C4" s="9" t="inlineStr">
        <is>
          <t>https://www.tamin.ir/news/item/7043/%D8%AA%D8%B4%D8%B1%DB%8C%D8%AD-%D9%81%D8%B1%D8%A7%DB%8C%D9%86%D8%AF-%D9%85%D8%A7%D8%AF%D9%87-39--%D9%86%D8%AD%D9%88%D9%87-%D8%A7%D8%B1%D8%B3%D8%A7%D9%84-%D9%84%DB%8C%D8%B3%D8%AA-%D9%88%D9%BE%D8%B1%D8%AF%D8%A7%D8%AE%D8%AA-%D8%AD%D9%82-%D8%A8%DB%8C%D9%85%D9%87-%D9%82%D8%A7%D9%86%D9%88%D9%86-%D8%AA%D8%A7%D9%85%DB%8C%D9%86-%D8%A7%D8%AC%D8%AA%D9%85%D8%A7%D8%B9%DB%8C</t>
        </is>
      </c>
      <c r="D4" s="9" t="inlineStr">
        <is>
          <t>بله</t>
        </is>
      </c>
      <c r="E4" s="9" t="inlineStr">
        <is>
          <t>تعطیلی/تمدید را کنترل کنید</t>
        </is>
      </c>
      <c r="F4" s="9" t="inlineStr">
        <is>
          <t>خیلی بالا</t>
        </is>
      </c>
    </row>
    <row r="5">
      <c r="A5" s="9" t="inlineStr">
        <is>
          <t>مالیات حقوق</t>
        </is>
      </c>
      <c r="B5" s="9" t="inlineStr">
        <is>
          <t>به‌صورت پیش‌فرض پایان ماه بعد گذاشته شده، اما قبل از موعد باید با سامانه و قانون جاری کنترل شود.</t>
        </is>
      </c>
      <c r="C5" s="9" t="inlineStr">
        <is>
          <t>https://qavanin.ir/Law/TreeText/?IDS=892583840653829785</t>
        </is>
      </c>
      <c r="D5" s="9" t="inlineStr">
        <is>
          <t>بله</t>
        </is>
      </c>
      <c r="E5" s="9" t="inlineStr"/>
      <c r="F5" s="9" t="inlineStr">
        <is>
          <t>خیلی بالا</t>
        </is>
      </c>
    </row>
    <row r="6">
      <c r="A6" s="9" t="inlineStr">
        <is>
          <t>معاملات فصلی</t>
        </is>
      </c>
      <c r="B6" s="9" t="inlineStr">
        <is>
          <t>به‌صورت پیش‌فرض ۴۵ روز پس از پایان فصل درج شده است.</t>
        </is>
      </c>
      <c r="C6" s="9" t="inlineStr">
        <is>
          <t>https://www.sepidarsystem.com/blog/ttms/</t>
        </is>
      </c>
      <c r="D6" s="9" t="inlineStr">
        <is>
          <t>بله</t>
        </is>
      </c>
      <c r="E6" s="9" t="inlineStr">
        <is>
          <t>ممکن است بخشنامه/تمدید داشته باشد</t>
        </is>
      </c>
      <c r="F6" s="9" t="inlineStr">
        <is>
          <t>خیلی بالا</t>
        </is>
      </c>
    </row>
    <row r="7">
      <c r="A7" s="9" t="inlineStr">
        <is>
          <t>ارزش افزوده</t>
        </is>
      </c>
      <c r="B7" s="9" t="inlineStr">
        <is>
          <t>مهلت‌ها ممکن است با بخشنامه و تمدید دوره‌ای تغییر کنند؛ در شیت الگوها قابل اصلاح است.</t>
        </is>
      </c>
      <c r="C7" s="9" t="inlineStr">
        <is>
          <t>https://www.intamedia.ir</t>
        </is>
      </c>
      <c r="D7" s="9" t="inlineStr">
        <is>
          <t>بله</t>
        </is>
      </c>
      <c r="E7" s="9" t="inlineStr">
        <is>
          <t>قبل از موعد رسمی بررسی شود</t>
        </is>
      </c>
      <c r="F7" s="9" t="inlineStr">
        <is>
          <t>خیلی بالا</t>
        </is>
      </c>
    </row>
    <row r="8">
      <c r="A8" s="9" t="inlineStr">
        <is>
          <t>امنیت رمزها</t>
        </is>
      </c>
      <c r="B8" s="9" t="inlineStr">
        <is>
          <t>در شیت اطلاعات سامانه‌ها بهتر است رمز واقعی ذخیره نشود یا فایل رمزگذاری شود.</t>
        </is>
      </c>
      <c r="C8" s="9" t="inlineStr"/>
      <c r="D8" s="9" t="inlineStr">
        <is>
          <t>بله</t>
        </is>
      </c>
      <c r="E8" s="9" t="inlineStr"/>
      <c r="F8" s="9" t="inlineStr">
        <is>
          <t>بالا</t>
        </is>
      </c>
    </row>
    <row r="9">
      <c r="A9" s="9" t="inlineStr">
        <is>
          <t>روش استفاده</t>
        </is>
      </c>
      <c r="B9" s="9" t="inlineStr">
        <is>
          <t>ستون‌های وضعیت، درصد پیشرفت، تاریخ انجام و توضیحات را در شیت کارهای ۱۴۰۵ به‌روز کنید؛ گزارش‌ها و داشبورد خودکار تغییر می‌کنند.</t>
        </is>
      </c>
      <c r="C9" s="9" t="inlineStr"/>
      <c r="D9" s="9" t="inlineStr">
        <is>
          <t>خیر</t>
        </is>
      </c>
      <c r="E9" s="9" t="inlineStr"/>
      <c r="F9" s="9" t="inlineStr">
        <is>
          <t>بالا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2026-06-18T17:29:59Z</dcterms:created>
  <dcterms:modified xmlns:dcterms="http://purl.org/dc/terms/" xmlns:xsi="http://www.w3.org/2001/XMLSchema-instance" xsi:type="dcterms:W3CDTF">2026-06-18T17:30:00Z</dcterms:modified>
</cp:coreProperties>
</file>